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New folder (2)\New folder\Budget Planning\"/>
    </mc:Choice>
  </mc:AlternateContent>
  <xr:revisionPtr revIDLastSave="0" documentId="13_ncr:1_{E3AE9EFD-5C30-4362-887F-329CC4D41A1E}" xr6:coauthVersionLast="47" xr6:coauthVersionMax="47" xr10:uidLastSave="{00000000-0000-0000-0000-000000000000}"/>
  <bookViews>
    <workbookView xWindow="-108" yWindow="-108" windowWidth="23256" windowHeight="12456" firstSheet="1" activeTab="1" xr2:uid="{69503D12-D9B8-43FD-A6E3-8C08704C6E6F}"/>
  </bookViews>
  <sheets>
    <sheet name="Budget Data Sheet" sheetId="1" r:id="rId1"/>
    <sheet name="Dashboard" sheetId="12" r:id="rId2"/>
    <sheet name="Report 1" sheetId="16" r:id="rId3"/>
    <sheet name=" Report 2" sheetId="8" r:id="rId4"/>
    <sheet name=" Report 3" sheetId="9" r:id="rId5"/>
    <sheet name=" Report 4" sheetId="11" r:id="rId6"/>
  </sheets>
  <definedNames>
    <definedName name="_xlnm._FilterDatabase" localSheetId="0" hidden="1">'Budget Data Sheet'!$A$1:$H$38</definedName>
    <definedName name="_xlnm._FilterDatabase" localSheetId="1" hidden="1">Dashboard!$A$3:$C$20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2" l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6" i="1"/>
  <c r="G16" i="1"/>
  <c r="F16" i="1"/>
  <c r="E16" i="1"/>
  <c r="H15" i="1"/>
  <c r="G15" i="1"/>
  <c r="F15" i="1"/>
  <c r="E15" i="1"/>
  <c r="H14" i="1"/>
  <c r="G14" i="1"/>
  <c r="F14" i="1"/>
  <c r="E14" i="1"/>
  <c r="H13" i="1"/>
  <c r="G13" i="1"/>
  <c r="F13" i="1"/>
  <c r="E13" i="1"/>
  <c r="H12" i="1"/>
  <c r="G12" i="1"/>
  <c r="F12" i="1"/>
  <c r="E12" i="1"/>
  <c r="H11" i="1"/>
  <c r="G11" i="1"/>
  <c r="F11" i="1"/>
  <c r="E11" i="1"/>
  <c r="H10" i="1"/>
  <c r="G10" i="1"/>
  <c r="F10" i="1"/>
  <c r="E10" i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H5" i="1"/>
  <c r="G5" i="1"/>
  <c r="F5" i="1"/>
  <c r="E5" i="1"/>
  <c r="H4" i="1"/>
  <c r="G4" i="1"/>
  <c r="F4" i="1"/>
  <c r="E4" i="1"/>
  <c r="H3" i="1"/>
  <c r="G3" i="1"/>
  <c r="F3" i="1"/>
  <c r="E3" i="1"/>
  <c r="H2" i="1"/>
  <c r="G2" i="1"/>
  <c r="F2" i="1"/>
  <c r="E2" i="1"/>
  <c r="C11" i="16"/>
  <c r="B13" i="11"/>
</calcChain>
</file>

<file path=xl/sharedStrings.xml><?xml version="1.0" encoding="utf-8"?>
<sst xmlns="http://schemas.openxmlformats.org/spreadsheetml/2006/main" count="134" uniqueCount="35">
  <si>
    <t>Category</t>
  </si>
  <si>
    <t>Type</t>
  </si>
  <si>
    <t>Budgeted_Amount</t>
  </si>
  <si>
    <t>Actual_Amount</t>
  </si>
  <si>
    <t>Salary</t>
  </si>
  <si>
    <t>Rent</t>
  </si>
  <si>
    <t>Groceries</t>
  </si>
  <si>
    <t>Freelance</t>
  </si>
  <si>
    <t>Utilities</t>
  </si>
  <si>
    <t>Entertainment</t>
  </si>
  <si>
    <t>Month</t>
  </si>
  <si>
    <t>January</t>
  </si>
  <si>
    <t>February</t>
  </si>
  <si>
    <t>March</t>
  </si>
  <si>
    <t>April</t>
  </si>
  <si>
    <t>May</t>
  </si>
  <si>
    <t>June</t>
  </si>
  <si>
    <t>Total Income</t>
  </si>
  <si>
    <t>Total Expense</t>
  </si>
  <si>
    <t>Variance</t>
  </si>
  <si>
    <t>Sum of Variance</t>
  </si>
  <si>
    <t>Sum of Total Income</t>
  </si>
  <si>
    <t>Sum of Total Expense</t>
  </si>
  <si>
    <t>Grand Total</t>
  </si>
  <si>
    <t>Net Budget</t>
  </si>
  <si>
    <t>Variance(sum)</t>
  </si>
  <si>
    <t>planned_amount</t>
  </si>
  <si>
    <t>actual_amount(s or e)</t>
  </si>
  <si>
    <t>Row Labels</t>
  </si>
  <si>
    <t>Expense</t>
  </si>
  <si>
    <t>Income</t>
  </si>
  <si>
    <t>Sum of Actual_Amount</t>
  </si>
  <si>
    <t>(Income - Expenses)</t>
  </si>
  <si>
    <t>(incomes - expenses)</t>
  </si>
  <si>
    <t xml:space="preserve"> BudgetedAmount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</si>
</sst>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left" indent="1"/>
    </xf>
    <xf numFmtId="0" fontId="1" fillId="2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1" fillId="5" borderId="1" xfId="0" applyFont="1" applyFill="1" applyBorder="1"/>
    <xf numFmtId="0" fontId="0" fillId="6" borderId="0" xfId="0" applyFill="1"/>
    <xf numFmtId="0" fontId="1" fillId="6" borderId="0" xfId="0" applyFont="1" applyFill="1" applyAlignment="1">
      <alignment horizontal="left"/>
    </xf>
    <xf numFmtId="0" fontId="1" fillId="6" borderId="0" xfId="0" applyFont="1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12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[Budget planning.xlsx] Report 4!PivotTable2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Expense</a:t>
            </a:r>
            <a:r>
              <a:rPr lang="en-US" sz="1600" b="1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vs Income(category wise)</a:t>
            </a:r>
            <a:endParaRPr lang="en-US" sz="1600" b="1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4407623461415789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Report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 Report 4'!$A$4:$A$12</c:f>
              <c:multiLvlStrCache>
                <c:ptCount val="6"/>
                <c:lvl>
                  <c:pt idx="0">
                    <c:v>Entertainment</c:v>
                  </c:pt>
                  <c:pt idx="1">
                    <c:v>Groceries</c:v>
                  </c:pt>
                  <c:pt idx="2">
                    <c:v>Rent</c:v>
                  </c:pt>
                  <c:pt idx="3">
                    <c:v>Utilities</c:v>
                  </c:pt>
                  <c:pt idx="4">
                    <c:v>Freelance</c:v>
                  </c:pt>
                  <c:pt idx="5">
                    <c:v>Salary</c:v>
                  </c:pt>
                </c:lvl>
                <c:lvl>
                  <c:pt idx="0">
                    <c:v>Expense</c:v>
                  </c:pt>
                  <c:pt idx="4">
                    <c:v>Income</c:v>
                  </c:pt>
                </c:lvl>
              </c:multiLvlStrCache>
            </c:multiLvlStrRef>
          </c:cat>
          <c:val>
            <c:numRef>
              <c:f>' Report 4'!$B$4:$B$12</c:f>
              <c:numCache>
                <c:formatCode>General</c:formatCode>
                <c:ptCount val="6"/>
                <c:pt idx="0">
                  <c:v>11823.5</c:v>
                </c:pt>
                <c:pt idx="1">
                  <c:v>26238.81</c:v>
                </c:pt>
                <c:pt idx="2">
                  <c:v>120000</c:v>
                </c:pt>
                <c:pt idx="3">
                  <c:v>9110.5300000000007</c:v>
                </c:pt>
                <c:pt idx="4">
                  <c:v>12345.720000000001</c:v>
                </c:pt>
                <c:pt idx="5">
                  <c:v>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4-4ECA-87D3-6DE8876CA1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8717648"/>
        <c:axId val="518715728"/>
      </c:barChart>
      <c:catAx>
        <c:axId val="51871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715728"/>
        <c:crosses val="autoZero"/>
        <c:auto val="1"/>
        <c:lblAlgn val="ctr"/>
        <c:lblOffset val="100"/>
        <c:noMultiLvlLbl val="0"/>
      </c:catAx>
      <c:valAx>
        <c:axId val="51871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71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 planning.xlsx] Report 4!PivotTable2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Expense Breakdown</a:t>
            </a:r>
          </a:p>
        </c:rich>
      </c:tx>
      <c:layout>
        <c:manualLayout>
          <c:xMode val="edge"/>
          <c:yMode val="edge"/>
          <c:x val="0.28232633420822395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 Report 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BF6-4AD3-AE57-2717B77B2F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BF6-4AD3-AE57-2717B77B2F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BF6-4AD3-AE57-2717B77B2F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BF6-4AD3-AE57-2717B77B2F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BF6-4AD3-AE57-2717B77B2F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BF6-4AD3-AE57-2717B77B2F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 Report 4'!$A$4:$A$12</c:f>
              <c:multiLvlStrCache>
                <c:ptCount val="6"/>
                <c:lvl>
                  <c:pt idx="0">
                    <c:v>Entertainment</c:v>
                  </c:pt>
                  <c:pt idx="1">
                    <c:v>Groceries</c:v>
                  </c:pt>
                  <c:pt idx="2">
                    <c:v>Rent</c:v>
                  </c:pt>
                  <c:pt idx="3">
                    <c:v>Utilities</c:v>
                  </c:pt>
                  <c:pt idx="4">
                    <c:v>Freelance</c:v>
                  </c:pt>
                  <c:pt idx="5">
                    <c:v>Salary</c:v>
                  </c:pt>
                </c:lvl>
                <c:lvl>
                  <c:pt idx="0">
                    <c:v>Expense</c:v>
                  </c:pt>
                  <c:pt idx="4">
                    <c:v>Income</c:v>
                  </c:pt>
                </c:lvl>
              </c:multiLvlStrCache>
            </c:multiLvlStrRef>
          </c:cat>
          <c:val>
            <c:numRef>
              <c:f>' Report 4'!$B$4:$B$12</c:f>
              <c:numCache>
                <c:formatCode>General</c:formatCode>
                <c:ptCount val="6"/>
                <c:pt idx="0">
                  <c:v>11823.5</c:v>
                </c:pt>
                <c:pt idx="1">
                  <c:v>26238.81</c:v>
                </c:pt>
                <c:pt idx="2">
                  <c:v>120000</c:v>
                </c:pt>
                <c:pt idx="3">
                  <c:v>9110.5300000000007</c:v>
                </c:pt>
                <c:pt idx="4">
                  <c:v>12345.720000000001</c:v>
                </c:pt>
                <c:pt idx="5">
                  <c:v>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BF6-4AD3-AE57-2717B77B2F5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 planning.xlsx] Report 3!PivotTable6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Variance Analysis</a:t>
            </a:r>
          </a:p>
        </c:rich>
      </c:tx>
      <c:layout>
        <c:manualLayout>
          <c:xMode val="edge"/>
          <c:yMode val="edge"/>
          <c:x val="0.34430555555555553"/>
          <c:y val="1.3736263736263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018372703412078E-2"/>
          <c:y val="0.14732485362406622"/>
          <c:w val="0.88265507436570434"/>
          <c:h val="0.74531308586426692"/>
        </c:manualLayout>
      </c:layout>
      <c:lineChart>
        <c:grouping val="standard"/>
        <c:varyColors val="0"/>
        <c:ser>
          <c:idx val="0"/>
          <c:order val="0"/>
          <c:tx>
            <c:strRef>
              <c:f>' Report 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Report 3'!$A$4:$A$10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 Report 3'!$B$4:$B$10</c:f>
              <c:numCache>
                <c:formatCode>General</c:formatCode>
                <c:ptCount val="6"/>
                <c:pt idx="0">
                  <c:v>235.97999999999979</c:v>
                </c:pt>
                <c:pt idx="1">
                  <c:v>250.5300000000002</c:v>
                </c:pt>
                <c:pt idx="2">
                  <c:v>302.3599999999999</c:v>
                </c:pt>
                <c:pt idx="3">
                  <c:v>-692.61000000000013</c:v>
                </c:pt>
                <c:pt idx="4">
                  <c:v>-143.05999999999972</c:v>
                </c:pt>
                <c:pt idx="5">
                  <c:v>-437.63999999999987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8-4132-BD44-60562CA1F8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95897296"/>
        <c:axId val="2095890096"/>
      </c:lineChart>
      <c:catAx>
        <c:axId val="209589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890096"/>
        <c:crosses val="autoZero"/>
        <c:auto val="1"/>
        <c:lblAlgn val="ctr"/>
        <c:lblOffset val="100"/>
        <c:noMultiLvlLbl val="0"/>
      </c:catAx>
      <c:valAx>
        <c:axId val="209589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89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 planning.xlsx] Report 2!PivotTable5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Budget</a:t>
            </a:r>
            <a:r>
              <a:rPr lang="en-IN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vs Actual</a:t>
            </a:r>
            <a:endParaRPr lang="en-IN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0337489063867018"/>
          <c:y val="3.1876138433515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tint val="96000"/>
                  <a:lumMod val="100000"/>
                </a:schemeClr>
              </a:gs>
              <a:gs pos="78000">
                <a:schemeClr val="accent6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tint val="96000"/>
                  <a:lumMod val="100000"/>
                </a:schemeClr>
              </a:gs>
              <a:gs pos="78000">
                <a:schemeClr val="accent6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958158355205598"/>
          <c:y val="0.2061807378244386"/>
          <c:w val="0.72389895013123373"/>
          <c:h val="0.709938393117526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 Report 2'!$B$3</c:f>
              <c:strCache>
                <c:ptCount val="1"/>
                <c:pt idx="0">
                  <c:v>planned_amount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96000"/>
                    <a:lumMod val="100000"/>
                  </a:schemeClr>
                </a:gs>
                <a:gs pos="78000">
                  <a:schemeClr val="accent6">
                    <a:shade val="94000"/>
                    <a:lumMod val="9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Report 2'!$A$4:$A$10</c:f>
              <c:strCache>
                <c:ptCount val="6"/>
                <c:pt idx="0">
                  <c:v>Entertainment</c:v>
                </c:pt>
                <c:pt idx="1">
                  <c:v>Freelance</c:v>
                </c:pt>
                <c:pt idx="2">
                  <c:v>Groceries</c:v>
                </c:pt>
                <c:pt idx="3">
                  <c:v>Rent</c:v>
                </c:pt>
                <c:pt idx="4">
                  <c:v>Salary</c:v>
                </c:pt>
                <c:pt idx="5">
                  <c:v>Utilities</c:v>
                </c:pt>
              </c:strCache>
            </c:strRef>
          </c:cat>
          <c:val>
            <c:numRef>
              <c:f>' Report 2'!$B$4:$B$10</c:f>
              <c:numCache>
                <c:formatCode>General</c:formatCode>
                <c:ptCount val="6"/>
                <c:pt idx="0">
                  <c:v>12210</c:v>
                </c:pt>
                <c:pt idx="1">
                  <c:v>12027</c:v>
                </c:pt>
                <c:pt idx="2">
                  <c:v>26793</c:v>
                </c:pt>
                <c:pt idx="3">
                  <c:v>120000</c:v>
                </c:pt>
                <c:pt idx="4">
                  <c:v>240000</c:v>
                </c:pt>
                <c:pt idx="5">
                  <c:v>8973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1-4B08-B99B-AB3A0BD6B5E9}"/>
            </c:ext>
          </c:extLst>
        </c:ser>
        <c:ser>
          <c:idx val="1"/>
          <c:order val="1"/>
          <c:tx>
            <c:strRef>
              <c:f>' Report 2'!$C$3</c:f>
              <c:strCache>
                <c:ptCount val="1"/>
                <c:pt idx="0">
                  <c:v>actual_amount(s or e)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96000"/>
                    <a:lumMod val="100000"/>
                  </a:schemeClr>
                </a:gs>
                <a:gs pos="78000">
                  <a:schemeClr val="accent5">
                    <a:shade val="94000"/>
                    <a:lumMod val="9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Report 2'!$A$4:$A$10</c:f>
              <c:strCache>
                <c:ptCount val="6"/>
                <c:pt idx="0">
                  <c:v>Entertainment</c:v>
                </c:pt>
                <c:pt idx="1">
                  <c:v>Freelance</c:v>
                </c:pt>
                <c:pt idx="2">
                  <c:v>Groceries</c:v>
                </c:pt>
                <c:pt idx="3">
                  <c:v>Rent</c:v>
                </c:pt>
                <c:pt idx="4">
                  <c:v>Salary</c:v>
                </c:pt>
                <c:pt idx="5">
                  <c:v>Utilities</c:v>
                </c:pt>
              </c:strCache>
            </c:strRef>
          </c:cat>
          <c:val>
            <c:numRef>
              <c:f>' Report 2'!$C$4:$C$10</c:f>
              <c:numCache>
                <c:formatCode>General</c:formatCode>
                <c:ptCount val="6"/>
                <c:pt idx="0">
                  <c:v>11823.5</c:v>
                </c:pt>
                <c:pt idx="1">
                  <c:v>12345.720000000001</c:v>
                </c:pt>
                <c:pt idx="2">
                  <c:v>26238.81</c:v>
                </c:pt>
                <c:pt idx="3">
                  <c:v>120000</c:v>
                </c:pt>
                <c:pt idx="4">
                  <c:v>240000</c:v>
                </c:pt>
                <c:pt idx="5">
                  <c:v>9110.5300000000007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01-4B08-B99B-AB3A0BD6B5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95875696"/>
        <c:axId val="2095859376"/>
      </c:barChart>
      <c:catAx>
        <c:axId val="2095875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859376"/>
        <c:crosses val="autoZero"/>
        <c:auto val="1"/>
        <c:lblAlgn val="ctr"/>
        <c:lblOffset val="100"/>
        <c:noMultiLvlLbl val="0"/>
      </c:catAx>
      <c:valAx>
        <c:axId val="209585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87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020756780402435"/>
          <c:y val="3.2579995123560399E-2"/>
          <c:w val="0.43757020997375334"/>
          <c:h val="0.121543106292041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 Income vs Total Expense</a:t>
            </a:r>
          </a:p>
        </c:rich>
      </c:tx>
      <c:layout>
        <c:manualLayout>
          <c:xMode val="edge"/>
          <c:yMode val="edge"/>
          <c:x val="0.202958223972003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C74-4237-861B-6FB7D1A0DD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C74-4237-861B-6FB7D1A0DDC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'Report 1'!$G$6:$H$6</c:f>
              <c:strCache>
                <c:ptCount val="2"/>
                <c:pt idx="0">
                  <c:v>Total Income</c:v>
                </c:pt>
                <c:pt idx="1">
                  <c:v>Total Expense</c:v>
                </c:pt>
              </c:strCache>
            </c:strRef>
          </c:cat>
          <c:val>
            <c:numRef>
              <c:f>'Report 1'!$G$7:$H$7</c:f>
              <c:numCache>
                <c:formatCode>General</c:formatCode>
                <c:ptCount val="2"/>
                <c:pt idx="0">
                  <c:v>252345.72</c:v>
                </c:pt>
                <c:pt idx="1">
                  <c:v>167172.84000000003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74-4237-861B-6FB7D1A0DD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Income vs Total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28-447F-9FB6-DA45D09E4D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E28-447F-9FB6-DA45D09E4D8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'Report 1'!$G$6:$H$6</c:f>
              <c:strCache>
                <c:ptCount val="2"/>
                <c:pt idx="0">
                  <c:v>Total Income</c:v>
                </c:pt>
                <c:pt idx="1">
                  <c:v>Total Expense</c:v>
                </c:pt>
              </c:strCache>
            </c:strRef>
          </c:cat>
          <c:val>
            <c:numRef>
              <c:f>'Report 1'!$G$7:$H$7</c:f>
              <c:numCache>
                <c:formatCode>General</c:formatCode>
                <c:ptCount val="2"/>
                <c:pt idx="0">
                  <c:v>252345.72</c:v>
                </c:pt>
                <c:pt idx="1">
                  <c:v>167172.84000000003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A-4DEB-AB03-6362BC75BF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 planning.xlsx]Report 1!PivotTable5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'Report 1'!$B$3</c:f>
              <c:strCache>
                <c:ptCount val="1"/>
                <c:pt idx="0">
                  <c:v>Sum of Total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 1'!$A$4:$A$10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'Report 1'!$B$4:$B$10</c:f>
              <c:numCache>
                <c:formatCode>General</c:formatCode>
                <c:ptCount val="6"/>
                <c:pt idx="0">
                  <c:v>42166.05</c:v>
                </c:pt>
                <c:pt idx="1">
                  <c:v>42215.92</c:v>
                </c:pt>
                <c:pt idx="2">
                  <c:v>42045.96</c:v>
                </c:pt>
                <c:pt idx="3">
                  <c:v>41820.79</c:v>
                </c:pt>
                <c:pt idx="4">
                  <c:v>42033.18</c:v>
                </c:pt>
                <c:pt idx="5">
                  <c:v>42063.82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A-41D0-BDCA-329158B6C8AD}"/>
            </c:ext>
          </c:extLst>
        </c:ser>
        <c:ser>
          <c:idx val="1"/>
          <c:order val="1"/>
          <c:tx>
            <c:strRef>
              <c:f>'Report 1'!$C$3</c:f>
              <c:strCache>
                <c:ptCount val="1"/>
                <c:pt idx="0">
                  <c:v>Sum of Total Expense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'Report 1'!$A$4:$A$10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'Report 1'!$C$4:$C$10</c:f>
              <c:numCache>
                <c:formatCode>General</c:formatCode>
                <c:ptCount val="6"/>
                <c:pt idx="0">
                  <c:v>27650.93</c:v>
                </c:pt>
                <c:pt idx="1">
                  <c:v>28095.61</c:v>
                </c:pt>
                <c:pt idx="2">
                  <c:v>28621.399999999998</c:v>
                </c:pt>
                <c:pt idx="3">
                  <c:v>27567.599999999999</c:v>
                </c:pt>
                <c:pt idx="4">
                  <c:v>27998.76</c:v>
                </c:pt>
                <c:pt idx="5">
                  <c:v>27238.539999999997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0A-41D0-BDCA-329158B6C8AD}"/>
            </c:ext>
          </c:extLst>
        </c:ser>
        <c:ser>
          <c:idx val="2"/>
          <c:order val="2"/>
          <c:tx>
            <c:strRef>
              <c:f>'Report 1'!$D$3</c:f>
              <c:strCache>
                <c:ptCount val="1"/>
                <c:pt idx="0">
                  <c:v>Sum of Variance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'Report 1'!$A$4:$A$10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'Report 1'!$D$4:$D$10</c:f>
              <c:numCache>
                <c:formatCode>General</c:formatCode>
                <c:ptCount val="6"/>
                <c:pt idx="0">
                  <c:v>235.97999999999979</c:v>
                </c:pt>
                <c:pt idx="1">
                  <c:v>250.5300000000002</c:v>
                </c:pt>
                <c:pt idx="2">
                  <c:v>302.3599999999999</c:v>
                </c:pt>
                <c:pt idx="3">
                  <c:v>-692.61000000000013</c:v>
                </c:pt>
                <c:pt idx="4">
                  <c:v>-143.05999999999972</c:v>
                </c:pt>
                <c:pt idx="5">
                  <c:v>-437.63999999999987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0A-41D0-BDCA-329158B6C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6469120"/>
        <c:axId val="1346470560"/>
      </c:barChart>
      <c:catAx>
        <c:axId val="1346469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470560"/>
        <c:crosses val="autoZero"/>
        <c:auto val="1"/>
        <c:lblAlgn val="ctr"/>
        <c:lblOffset val="100"/>
        <c:noMultiLvlLbl val="0"/>
      </c:catAx>
      <c:valAx>
        <c:axId val="134647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46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 planning.xlsx] Report 2!PivotTable5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Budget</a:t>
            </a:r>
            <a:r>
              <a:rPr lang="en-IN" baseline="0"/>
              <a:t> vs Actual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tint val="96000"/>
                  <a:lumMod val="100000"/>
                </a:schemeClr>
              </a:gs>
              <a:gs pos="78000">
                <a:schemeClr val="accent6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tint val="96000"/>
                  <a:lumMod val="100000"/>
                </a:schemeClr>
              </a:gs>
              <a:gs pos="78000">
                <a:schemeClr val="accent6">
                  <a:shade val="94000"/>
                  <a:lumMod val="94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291491688538935"/>
          <c:y val="0.18766221930592009"/>
          <c:w val="0.48223228346456692"/>
          <c:h val="0.709938393117526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 Report 2'!$B$3</c:f>
              <c:strCache>
                <c:ptCount val="1"/>
                <c:pt idx="0">
                  <c:v>planned_amount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96000"/>
                    <a:lumMod val="100000"/>
                  </a:schemeClr>
                </a:gs>
                <a:gs pos="78000">
                  <a:schemeClr val="accent6">
                    <a:shade val="94000"/>
                    <a:lumMod val="9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Report 2'!$A$4:$A$10</c:f>
              <c:strCache>
                <c:ptCount val="6"/>
                <c:pt idx="0">
                  <c:v>Entertainment</c:v>
                </c:pt>
                <c:pt idx="1">
                  <c:v>Freelance</c:v>
                </c:pt>
                <c:pt idx="2">
                  <c:v>Groceries</c:v>
                </c:pt>
                <c:pt idx="3">
                  <c:v>Rent</c:v>
                </c:pt>
                <c:pt idx="4">
                  <c:v>Salary</c:v>
                </c:pt>
                <c:pt idx="5">
                  <c:v>Utilities</c:v>
                </c:pt>
              </c:strCache>
            </c:strRef>
          </c:cat>
          <c:val>
            <c:numRef>
              <c:f>' Report 2'!$B$4:$B$10</c:f>
              <c:numCache>
                <c:formatCode>General</c:formatCode>
                <c:ptCount val="6"/>
                <c:pt idx="0">
                  <c:v>12210</c:v>
                </c:pt>
                <c:pt idx="1">
                  <c:v>12027</c:v>
                </c:pt>
                <c:pt idx="2">
                  <c:v>26793</c:v>
                </c:pt>
                <c:pt idx="3">
                  <c:v>120000</c:v>
                </c:pt>
                <c:pt idx="4">
                  <c:v>240000</c:v>
                </c:pt>
                <c:pt idx="5">
                  <c:v>8973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4-4E86-919D-1DAAA691B05D}"/>
            </c:ext>
          </c:extLst>
        </c:ser>
        <c:ser>
          <c:idx val="1"/>
          <c:order val="1"/>
          <c:tx>
            <c:strRef>
              <c:f>' Report 2'!$C$3</c:f>
              <c:strCache>
                <c:ptCount val="1"/>
                <c:pt idx="0">
                  <c:v>actual_amount(s or e)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96000"/>
                    <a:lumMod val="100000"/>
                  </a:schemeClr>
                </a:gs>
                <a:gs pos="78000">
                  <a:schemeClr val="accent5">
                    <a:shade val="94000"/>
                    <a:lumMod val="9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Report 2'!$A$4:$A$10</c:f>
              <c:strCache>
                <c:ptCount val="6"/>
                <c:pt idx="0">
                  <c:v>Entertainment</c:v>
                </c:pt>
                <c:pt idx="1">
                  <c:v>Freelance</c:v>
                </c:pt>
                <c:pt idx="2">
                  <c:v>Groceries</c:v>
                </c:pt>
                <c:pt idx="3">
                  <c:v>Rent</c:v>
                </c:pt>
                <c:pt idx="4">
                  <c:v>Salary</c:v>
                </c:pt>
                <c:pt idx="5">
                  <c:v>Utilities</c:v>
                </c:pt>
              </c:strCache>
            </c:strRef>
          </c:cat>
          <c:val>
            <c:numRef>
              <c:f>' Report 2'!$C$4:$C$10</c:f>
              <c:numCache>
                <c:formatCode>General</c:formatCode>
                <c:ptCount val="6"/>
                <c:pt idx="0">
                  <c:v>11823.5</c:v>
                </c:pt>
                <c:pt idx="1">
                  <c:v>12345.720000000001</c:v>
                </c:pt>
                <c:pt idx="2">
                  <c:v>26238.81</c:v>
                </c:pt>
                <c:pt idx="3">
                  <c:v>120000</c:v>
                </c:pt>
                <c:pt idx="4">
                  <c:v>240000</c:v>
                </c:pt>
                <c:pt idx="5">
                  <c:v>9110.5300000000007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24-4E86-919D-1DAAA691B0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95875696"/>
        <c:axId val="2095859376"/>
      </c:barChart>
      <c:catAx>
        <c:axId val="2095875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859376"/>
        <c:crosses val="autoZero"/>
        <c:auto val="1"/>
        <c:lblAlgn val="ctr"/>
        <c:lblOffset val="100"/>
        <c:noMultiLvlLbl val="0"/>
      </c:catAx>
      <c:valAx>
        <c:axId val="209585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87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 planning.xlsx] Report 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567147856517926E-2"/>
          <c:y val="0.15505796150481191"/>
          <c:w val="0.88265507436570434"/>
          <c:h val="0.68578922426363376"/>
        </c:manualLayout>
      </c:layout>
      <c:lineChart>
        <c:grouping val="standard"/>
        <c:varyColors val="0"/>
        <c:ser>
          <c:idx val="0"/>
          <c:order val="0"/>
          <c:tx>
            <c:strRef>
              <c:f>' Report 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Report 3'!$A$4:$A$10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 Report 3'!$B$4:$B$10</c:f>
              <c:numCache>
                <c:formatCode>General</c:formatCode>
                <c:ptCount val="6"/>
                <c:pt idx="0">
                  <c:v>235.97999999999979</c:v>
                </c:pt>
                <c:pt idx="1">
                  <c:v>250.5300000000002</c:v>
                </c:pt>
                <c:pt idx="2">
                  <c:v>302.3599999999999</c:v>
                </c:pt>
                <c:pt idx="3">
                  <c:v>-692.61000000000013</c:v>
                </c:pt>
                <c:pt idx="4">
                  <c:v>-143.05999999999972</c:v>
                </c:pt>
                <c:pt idx="5">
                  <c:v>-437.63999999999987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4E-4492-8DCC-368F2562CB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95897296"/>
        <c:axId val="2095890096"/>
      </c:lineChart>
      <c:catAx>
        <c:axId val="209589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890096"/>
        <c:crosses val="autoZero"/>
        <c:auto val="1"/>
        <c:lblAlgn val="ctr"/>
        <c:lblOffset val="100"/>
        <c:noMultiLvlLbl val="0"/>
      </c:catAx>
      <c:valAx>
        <c:axId val="209589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89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[Budget planning.xlsx] Report 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</a:t>
            </a:r>
            <a:r>
              <a:rPr lang="en-US" baseline="0"/>
              <a:t> vs Income(category wise)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Report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 Report 4'!$A$4:$A$12</c:f>
              <c:multiLvlStrCache>
                <c:ptCount val="6"/>
                <c:lvl>
                  <c:pt idx="0">
                    <c:v>Entertainment</c:v>
                  </c:pt>
                  <c:pt idx="1">
                    <c:v>Groceries</c:v>
                  </c:pt>
                  <c:pt idx="2">
                    <c:v>Rent</c:v>
                  </c:pt>
                  <c:pt idx="3">
                    <c:v>Utilities</c:v>
                  </c:pt>
                  <c:pt idx="4">
                    <c:v>Freelance</c:v>
                  </c:pt>
                  <c:pt idx="5">
                    <c:v>Salary</c:v>
                  </c:pt>
                </c:lvl>
                <c:lvl>
                  <c:pt idx="0">
                    <c:v>Expense</c:v>
                  </c:pt>
                  <c:pt idx="4">
                    <c:v>Income</c:v>
                  </c:pt>
                </c:lvl>
              </c:multiLvlStrCache>
            </c:multiLvlStrRef>
          </c:cat>
          <c:val>
            <c:numRef>
              <c:f>' Report 4'!$B$4:$B$12</c:f>
              <c:numCache>
                <c:formatCode>General</c:formatCode>
                <c:ptCount val="6"/>
                <c:pt idx="0">
                  <c:v>11823.5</c:v>
                </c:pt>
                <c:pt idx="1">
                  <c:v>26238.81</c:v>
                </c:pt>
                <c:pt idx="2">
                  <c:v>120000</c:v>
                </c:pt>
                <c:pt idx="3">
                  <c:v>9110.5300000000007</c:v>
                </c:pt>
                <c:pt idx="4">
                  <c:v>12345.720000000001</c:v>
                </c:pt>
                <c:pt idx="5">
                  <c:v>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0-4E71-873C-E8BBD87A9D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8717648"/>
        <c:axId val="518715728"/>
      </c:barChart>
      <c:catAx>
        <c:axId val="51871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715728"/>
        <c:crosses val="autoZero"/>
        <c:auto val="1"/>
        <c:lblAlgn val="ctr"/>
        <c:lblOffset val="100"/>
        <c:noMultiLvlLbl val="0"/>
      </c:catAx>
      <c:valAx>
        <c:axId val="51871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71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 planning.xlsx] Report 4!PivotTable2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 Report 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43-4F4A-A996-10AD49C916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43-4F4A-A996-10AD49C916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43-4F4A-A996-10AD49C916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043-4F4A-A996-10AD49C916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043-4F4A-A996-10AD49C916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043-4F4A-A996-10AD49C916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 Report 4'!$A$4:$A$12</c:f>
              <c:multiLvlStrCache>
                <c:ptCount val="6"/>
                <c:lvl>
                  <c:pt idx="0">
                    <c:v>Entertainment</c:v>
                  </c:pt>
                  <c:pt idx="1">
                    <c:v>Groceries</c:v>
                  </c:pt>
                  <c:pt idx="2">
                    <c:v>Rent</c:v>
                  </c:pt>
                  <c:pt idx="3">
                    <c:v>Utilities</c:v>
                  </c:pt>
                  <c:pt idx="4">
                    <c:v>Freelance</c:v>
                  </c:pt>
                  <c:pt idx="5">
                    <c:v>Salary</c:v>
                  </c:pt>
                </c:lvl>
                <c:lvl>
                  <c:pt idx="0">
                    <c:v>Expense</c:v>
                  </c:pt>
                  <c:pt idx="4">
                    <c:v>Income</c:v>
                  </c:pt>
                </c:lvl>
              </c:multiLvlStrCache>
            </c:multiLvlStrRef>
          </c:cat>
          <c:val>
            <c:numRef>
              <c:f>' Report 4'!$B$4:$B$12</c:f>
              <c:numCache>
                <c:formatCode>General</c:formatCode>
                <c:ptCount val="6"/>
                <c:pt idx="0">
                  <c:v>11823.5</c:v>
                </c:pt>
                <c:pt idx="1">
                  <c:v>26238.81</c:v>
                </c:pt>
                <c:pt idx="2">
                  <c:v>120000</c:v>
                </c:pt>
                <c:pt idx="3">
                  <c:v>9110.5300000000007</c:v>
                </c:pt>
                <c:pt idx="4">
                  <c:v>12345.720000000001</c:v>
                </c:pt>
                <c:pt idx="5">
                  <c:v>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E-4DC7-9122-1A1038430E2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emf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7</xdr:row>
      <xdr:rowOff>68580</xdr:rowOff>
    </xdr:from>
    <xdr:to>
      <xdr:col>20</xdr:col>
      <xdr:colOff>495300</xdr:colOff>
      <xdr:row>39</xdr:row>
      <xdr:rowOff>144780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31CDB5D-7D48-7443-C129-9C3645AE2C13}"/>
            </a:ext>
          </a:extLst>
        </xdr:cNvPr>
        <xdr:cNvSpPr/>
      </xdr:nvSpPr>
      <xdr:spPr>
        <a:xfrm>
          <a:off x="15240" y="1348740"/>
          <a:ext cx="14729460" cy="5928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99060</xdr:colOff>
      <xdr:row>7</xdr:row>
      <xdr:rowOff>91440</xdr:rowOff>
    </xdr:from>
    <xdr:to>
      <xdr:col>5</xdr:col>
      <xdr:colOff>160020</xdr:colOff>
      <xdr:row>22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B0E939-F51A-4779-9037-796340203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91440</xdr:colOff>
      <xdr:row>23</xdr:row>
      <xdr:rowOff>7620</xdr:rowOff>
    </xdr:from>
    <xdr:to>
      <xdr:col>5</xdr:col>
      <xdr:colOff>152400</xdr:colOff>
      <xdr:row>39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863F72-269D-418E-886A-2DC28C979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243840</xdr:colOff>
      <xdr:row>7</xdr:row>
      <xdr:rowOff>91440</xdr:rowOff>
    </xdr:from>
    <xdr:to>
      <xdr:col>12</xdr:col>
      <xdr:colOff>548640</xdr:colOff>
      <xdr:row>22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5FCDCC-8B8F-4A80-8229-56AF1F84D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15240</xdr:colOff>
      <xdr:row>7</xdr:row>
      <xdr:rowOff>91440</xdr:rowOff>
    </xdr:from>
    <xdr:to>
      <xdr:col>20</xdr:col>
      <xdr:colOff>419100</xdr:colOff>
      <xdr:row>22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31C7B9-5178-47E0-B8A9-AAB8AD5B5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6</xdr:col>
      <xdr:colOff>434340</xdr:colOff>
      <xdr:row>0</xdr:row>
      <xdr:rowOff>60961</xdr:rowOff>
    </xdr:from>
    <xdr:ext cx="3512820" cy="5867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48EF7BC-E59A-1D55-EAD7-5EAF7E61AF65}"/>
            </a:ext>
          </a:extLst>
        </xdr:cNvPr>
        <xdr:cNvSpPr txBox="1"/>
      </xdr:nvSpPr>
      <xdr:spPr>
        <a:xfrm>
          <a:off x="6149340" y="60961"/>
          <a:ext cx="3512820" cy="586739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800" b="1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Budget Planning</a:t>
          </a:r>
        </a:p>
      </xdr:txBody>
    </xdr:sp>
    <xdr:clientData/>
  </xdr:oneCellAnchor>
  <xdr:twoCellAnchor>
    <xdr:from>
      <xdr:col>5</xdr:col>
      <xdr:colOff>243840</xdr:colOff>
      <xdr:row>23</xdr:row>
      <xdr:rowOff>7620</xdr:rowOff>
    </xdr:from>
    <xdr:to>
      <xdr:col>12</xdr:col>
      <xdr:colOff>541020</xdr:colOff>
      <xdr:row>39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4E465-DA42-49E4-A45A-033066B48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7620</xdr:colOff>
      <xdr:row>23</xdr:row>
      <xdr:rowOff>15240</xdr:rowOff>
    </xdr:from>
    <xdr:to>
      <xdr:col>20</xdr:col>
      <xdr:colOff>411480</xdr:colOff>
      <xdr:row>39</xdr:row>
      <xdr:rowOff>53340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C108843-D15F-A425-3CFF-4BB72E156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9820" y="4221480"/>
          <a:ext cx="4671060" cy="2964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</xdr:colOff>
      <xdr:row>13</xdr:row>
      <xdr:rowOff>110490</xdr:rowOff>
    </xdr:from>
    <xdr:to>
      <xdr:col>5</xdr:col>
      <xdr:colOff>30480</xdr:colOff>
      <xdr:row>28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3E6109-FA0E-7C0D-513A-108404263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13</xdr:row>
      <xdr:rowOff>72390</xdr:rowOff>
    </xdr:from>
    <xdr:to>
      <xdr:col>12</xdr:col>
      <xdr:colOff>129540</xdr:colOff>
      <xdr:row>28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0CECA7-15DE-A87E-4B01-45304FEE6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403860</xdr:colOff>
      <xdr:row>1</xdr:row>
      <xdr:rowOff>179070</xdr:rowOff>
    </xdr:from>
    <xdr:to>
      <xdr:col>13</xdr:col>
      <xdr:colOff>99060</xdr:colOff>
      <xdr:row>16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AD1880-F61F-E7B5-5E07-CB6397BC2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11430</xdr:rowOff>
    </xdr:from>
    <xdr:to>
      <xdr:col>13</xdr:col>
      <xdr:colOff>304800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A3DC7-A825-1074-66F9-35FC756E8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</xdr:row>
      <xdr:rowOff>171450</xdr:rowOff>
    </xdr:from>
    <xdr:to>
      <xdr:col>11</xdr:col>
      <xdr:colOff>289560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3B19A9-D2AB-DAD0-2DCB-10D43CDB1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601980</xdr:colOff>
      <xdr:row>1</xdr:row>
      <xdr:rowOff>179070</xdr:rowOff>
    </xdr:from>
    <xdr:to>
      <xdr:col>19</xdr:col>
      <xdr:colOff>297180</xdr:colOff>
      <xdr:row>16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D116F5-A4F6-CA33-8985-ACBF06B31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71.61356041667" createdVersion="8" refreshedVersion="8" minRefreshableVersion="3" recordCount="36" xr:uid="{60886D18-185E-4809-BB2D-744C4CB57011}">
  <cacheSource type="worksheet">
    <worksheetSource ref="A1:F37" sheet="Budget Data Sheet"/>
  </cacheSource>
  <cacheFields count="6">
    <cacheField name="Month" numFmtId="0">
      <sharedItems count="6">
        <s v="January"/>
        <s v="February"/>
        <s v="March"/>
        <s v="April"/>
        <s v="May"/>
        <s v="June"/>
      </sharedItems>
    </cacheField>
    <cacheField name="Category" numFmtId="0">
      <sharedItems count="6">
        <s v="Entertainment"/>
        <s v="Groceries"/>
        <s v="Rent"/>
        <s v="Utilities"/>
        <s v="Freelance"/>
        <s v="Salary"/>
      </sharedItems>
    </cacheField>
    <cacheField name="Budgeted_Amount" numFmtId="0">
      <sharedItems containsSemiMixedTypes="0" containsString="0" containsNumber="1" containsInteger="1" minValue="1430" maxValue="40000"/>
    </cacheField>
    <cacheField name="Actual_Amount" numFmtId="0">
      <sharedItems containsSemiMixedTypes="0" containsString="0" containsNumber="1" minValue="1447.26" maxValue="40000"/>
    </cacheField>
    <cacheField name="Type" numFmtId="0">
      <sharedItems count="2">
        <s v="Expense"/>
        <s v="Income"/>
      </sharedItems>
    </cacheField>
    <cacheField name="Variance" numFmtId="0">
      <sharedItems containsSemiMixedTypes="0" containsString="0" containsNumber="1" minValue="-452.80000000000018" maxValue="393.909999999999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71.615574768519" createdVersion="8" refreshedVersion="8" minRefreshableVersion="3" recordCount="36" xr:uid="{C2353D93-AE94-40A9-A7EE-E25CF0C12D1B}">
  <cacheSource type="worksheet">
    <worksheetSource ref="A1:H37" sheet="Budget Data Sheet"/>
  </cacheSource>
  <cacheFields count="8">
    <cacheField name="Month" numFmtId="0">
      <sharedItems count="6">
        <s v="January"/>
        <s v="February"/>
        <s v="March"/>
        <s v="April"/>
        <s v="May"/>
        <s v="June"/>
      </sharedItems>
    </cacheField>
    <cacheField name="Category" numFmtId="0">
      <sharedItems/>
    </cacheField>
    <cacheField name="Budgeted_Amount" numFmtId="0">
      <sharedItems containsSemiMixedTypes="0" containsString="0" containsNumber="1" containsInteger="1" minValue="1430" maxValue="40000"/>
    </cacheField>
    <cacheField name="Actual_Amount" numFmtId="0">
      <sharedItems containsSemiMixedTypes="0" containsString="0" containsNumber="1" minValue="1447.26" maxValue="40000"/>
    </cacheField>
    <cacheField name="Type" numFmtId="0">
      <sharedItems/>
    </cacheField>
    <cacheField name="Variance" numFmtId="0">
      <sharedItems containsSemiMixedTypes="0" containsString="0" containsNumber="1" minValue="-452.80000000000018" maxValue="393.90999999999985"/>
    </cacheField>
    <cacheField name="Total Income" numFmtId="0">
      <sharedItems containsMixedTypes="1" containsNumber="1" minValue="41820.79" maxValue="42215.92"/>
    </cacheField>
    <cacheField name="Total Expense" numFmtId="0">
      <sharedItems containsMixedTypes="1" containsNumber="1" minValue="27238.539999999997" maxValue="28621.3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1921"/>
    <n v="1788.83"/>
    <x v="0"/>
    <n v="-132.17000000000007"/>
  </r>
  <r>
    <x v="0"/>
    <x v="1"/>
    <n v="4102"/>
    <n v="4345.28"/>
    <x v="0"/>
    <n v="243.27999999999975"/>
  </r>
  <r>
    <x v="0"/>
    <x v="2"/>
    <n v="20000"/>
    <n v="20000"/>
    <x v="0"/>
    <n v="0"/>
  </r>
  <r>
    <x v="0"/>
    <x v="3"/>
    <n v="1488"/>
    <n v="1516.82"/>
    <x v="0"/>
    <n v="28.819999999999936"/>
  </r>
  <r>
    <x v="0"/>
    <x v="4"/>
    <n v="2070"/>
    <n v="2166.0500000000002"/>
    <x v="1"/>
    <n v="96.050000000000182"/>
  </r>
  <r>
    <x v="0"/>
    <x v="5"/>
    <n v="40000"/>
    <n v="40000"/>
    <x v="1"/>
    <n v="0"/>
  </r>
  <r>
    <x v="1"/>
    <x v="0"/>
    <n v="2108"/>
    <n v="2306.11"/>
    <x v="0"/>
    <n v="198.11000000000013"/>
  </r>
  <r>
    <x v="1"/>
    <x v="1"/>
    <n v="4330"/>
    <n v="4294.71"/>
    <x v="0"/>
    <n v="-35.289999999999964"/>
  </r>
  <r>
    <x v="1"/>
    <x v="2"/>
    <n v="20000"/>
    <n v="20000"/>
    <x v="0"/>
    <n v="0"/>
  </r>
  <r>
    <x v="1"/>
    <x v="3"/>
    <n v="1451"/>
    <n v="1494.79"/>
    <x v="0"/>
    <n v="43.789999999999964"/>
  </r>
  <r>
    <x v="1"/>
    <x v="4"/>
    <n v="2172"/>
    <n v="2215.92"/>
    <x v="1"/>
    <n v="43.920000000000073"/>
  </r>
  <r>
    <x v="1"/>
    <x v="5"/>
    <n v="40000"/>
    <n v="40000"/>
    <x v="1"/>
    <n v="0"/>
  </r>
  <r>
    <x v="2"/>
    <x v="0"/>
    <n v="2113"/>
    <n v="2123.46"/>
    <x v="0"/>
    <n v="10.460000000000036"/>
  </r>
  <r>
    <x v="2"/>
    <x v="1"/>
    <n v="4491"/>
    <n v="4884.91"/>
    <x v="0"/>
    <n v="393.90999999999985"/>
  </r>
  <r>
    <x v="2"/>
    <x v="2"/>
    <n v="20000"/>
    <n v="20000"/>
    <x v="0"/>
    <n v="0"/>
  </r>
  <r>
    <x v="2"/>
    <x v="3"/>
    <n v="1576"/>
    <n v="1613.03"/>
    <x v="0"/>
    <n v="37.029999999999973"/>
  </r>
  <r>
    <x v="2"/>
    <x v="4"/>
    <n v="2185"/>
    <n v="2045.96"/>
    <x v="1"/>
    <n v="-139.03999999999996"/>
  </r>
  <r>
    <x v="2"/>
    <x v="5"/>
    <n v="40000"/>
    <n v="40000"/>
    <x v="1"/>
    <n v="0"/>
  </r>
  <r>
    <x v="3"/>
    <x v="0"/>
    <n v="1989"/>
    <n v="1826.14"/>
    <x v="0"/>
    <n v="-162.8599999999999"/>
  </r>
  <r>
    <x v="3"/>
    <x v="1"/>
    <n v="4747"/>
    <n v="4294.2"/>
    <x v="0"/>
    <n v="-452.80000000000018"/>
  </r>
  <r>
    <x v="3"/>
    <x v="2"/>
    <n v="20000"/>
    <n v="20000"/>
    <x v="0"/>
    <n v="0"/>
  </r>
  <r>
    <x v="3"/>
    <x v="3"/>
    <n v="1487"/>
    <n v="1447.26"/>
    <x v="0"/>
    <n v="-39.740000000000009"/>
  </r>
  <r>
    <x v="3"/>
    <x v="4"/>
    <n v="1858"/>
    <n v="1820.79"/>
    <x v="1"/>
    <n v="-37.210000000000036"/>
  </r>
  <r>
    <x v="3"/>
    <x v="5"/>
    <n v="40000"/>
    <n v="40000"/>
    <x v="1"/>
    <n v="0"/>
  </r>
  <r>
    <x v="4"/>
    <x v="0"/>
    <n v="1934"/>
    <n v="1806.56"/>
    <x v="0"/>
    <n v="-127.44000000000005"/>
  </r>
  <r>
    <x v="4"/>
    <x v="1"/>
    <n v="4957"/>
    <n v="4659.26"/>
    <x v="0"/>
    <n v="-297.73999999999978"/>
  </r>
  <r>
    <x v="4"/>
    <x v="2"/>
    <n v="20000"/>
    <n v="20000"/>
    <x v="0"/>
    <n v="0"/>
  </r>
  <r>
    <x v="4"/>
    <x v="3"/>
    <n v="1430"/>
    <n v="1532.94"/>
    <x v="0"/>
    <n v="102.94000000000005"/>
  </r>
  <r>
    <x v="4"/>
    <x v="4"/>
    <n v="1854"/>
    <n v="2033.18"/>
    <x v="1"/>
    <n v="179.18000000000006"/>
  </r>
  <r>
    <x v="4"/>
    <x v="5"/>
    <n v="40000"/>
    <n v="40000"/>
    <x v="1"/>
    <n v="0"/>
  </r>
  <r>
    <x v="5"/>
    <x v="0"/>
    <n v="2145"/>
    <n v="1972.4"/>
    <x v="0"/>
    <n v="-172.59999999999991"/>
  </r>
  <r>
    <x v="5"/>
    <x v="1"/>
    <n v="4166"/>
    <n v="3760.45"/>
    <x v="0"/>
    <n v="-405.55000000000018"/>
  </r>
  <r>
    <x v="5"/>
    <x v="2"/>
    <n v="20000"/>
    <n v="20000"/>
    <x v="0"/>
    <n v="0"/>
  </r>
  <r>
    <x v="5"/>
    <x v="3"/>
    <n v="1541"/>
    <n v="1505.69"/>
    <x v="0"/>
    <n v="-35.309999999999945"/>
  </r>
  <r>
    <x v="5"/>
    <x v="4"/>
    <n v="1888"/>
    <n v="2063.8200000000002"/>
    <x v="1"/>
    <n v="175.82000000000016"/>
  </r>
  <r>
    <x v="5"/>
    <x v="5"/>
    <n v="40000"/>
    <n v="40000"/>
    <x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s v="Entertainment"/>
    <n v="1921"/>
    <n v="1788.83"/>
    <s v="Expense"/>
    <n v="-132.17000000000007"/>
    <s v=""/>
    <n v="27650.93"/>
  </r>
  <r>
    <x v="0"/>
    <s v="Groceries"/>
    <n v="4102"/>
    <n v="4345.28"/>
    <s v="Expense"/>
    <n v="243.27999999999975"/>
    <s v=""/>
    <s v=""/>
  </r>
  <r>
    <x v="0"/>
    <s v="Rent"/>
    <n v="20000"/>
    <n v="20000"/>
    <s v="Expense"/>
    <n v="0"/>
    <s v=""/>
    <s v=""/>
  </r>
  <r>
    <x v="0"/>
    <s v="Utilities"/>
    <n v="1488"/>
    <n v="1516.82"/>
    <s v="Expense"/>
    <n v="28.819999999999936"/>
    <s v=""/>
    <s v=""/>
  </r>
  <r>
    <x v="0"/>
    <s v="Freelance"/>
    <n v="2070"/>
    <n v="2166.0500000000002"/>
    <s v="Income"/>
    <n v="96.050000000000182"/>
    <n v="42166.05"/>
    <s v=""/>
  </r>
  <r>
    <x v="0"/>
    <s v="Salary"/>
    <n v="40000"/>
    <n v="40000"/>
    <s v="Income"/>
    <n v="0"/>
    <s v=""/>
    <s v=""/>
  </r>
  <r>
    <x v="1"/>
    <s v="Entertainment"/>
    <n v="2108"/>
    <n v="2306.11"/>
    <s v="Expense"/>
    <n v="198.11000000000013"/>
    <s v=""/>
    <n v="28095.61"/>
  </r>
  <r>
    <x v="1"/>
    <s v="Groceries"/>
    <n v="4330"/>
    <n v="4294.71"/>
    <s v="Expense"/>
    <n v="-35.289999999999964"/>
    <s v=""/>
    <s v=""/>
  </r>
  <r>
    <x v="1"/>
    <s v="Rent"/>
    <n v="20000"/>
    <n v="20000"/>
    <s v="Expense"/>
    <n v="0"/>
    <s v=""/>
    <s v=""/>
  </r>
  <r>
    <x v="1"/>
    <s v="Utilities"/>
    <n v="1451"/>
    <n v="1494.79"/>
    <s v="Expense"/>
    <n v="43.789999999999964"/>
    <s v=""/>
    <s v=""/>
  </r>
  <r>
    <x v="1"/>
    <s v="Freelance"/>
    <n v="2172"/>
    <n v="2215.92"/>
    <s v="Income"/>
    <n v="43.920000000000073"/>
    <n v="42215.92"/>
    <s v=""/>
  </r>
  <r>
    <x v="1"/>
    <s v="Salary"/>
    <n v="40000"/>
    <n v="40000"/>
    <s v="Income"/>
    <n v="0"/>
    <s v=""/>
    <s v=""/>
  </r>
  <r>
    <x v="2"/>
    <s v="Entertainment"/>
    <n v="2113"/>
    <n v="2123.46"/>
    <s v="Expense"/>
    <n v="10.460000000000036"/>
    <s v=""/>
    <n v="28621.399999999998"/>
  </r>
  <r>
    <x v="2"/>
    <s v="Groceries"/>
    <n v="4491"/>
    <n v="4884.91"/>
    <s v="Expense"/>
    <n v="393.90999999999985"/>
    <s v=""/>
    <s v=""/>
  </r>
  <r>
    <x v="2"/>
    <s v="Rent"/>
    <n v="20000"/>
    <n v="20000"/>
    <s v="Expense"/>
    <n v="0"/>
    <s v=""/>
    <s v=""/>
  </r>
  <r>
    <x v="2"/>
    <s v="Utilities"/>
    <n v="1576"/>
    <n v="1613.03"/>
    <s v="Expense"/>
    <n v="37.029999999999973"/>
    <s v=""/>
    <s v=""/>
  </r>
  <r>
    <x v="2"/>
    <s v="Freelance"/>
    <n v="2185"/>
    <n v="2045.96"/>
    <s v="Income"/>
    <n v="-139.03999999999996"/>
    <n v="42045.96"/>
    <s v=""/>
  </r>
  <r>
    <x v="2"/>
    <s v="Salary"/>
    <n v="40000"/>
    <n v="40000"/>
    <s v="Income"/>
    <n v="0"/>
    <s v=""/>
    <s v=""/>
  </r>
  <r>
    <x v="3"/>
    <s v="Entertainment"/>
    <n v="1989"/>
    <n v="1826.14"/>
    <s v="Expense"/>
    <n v="-162.8599999999999"/>
    <s v=""/>
    <n v="27567.599999999999"/>
  </r>
  <r>
    <x v="3"/>
    <s v="Groceries"/>
    <n v="4747"/>
    <n v="4294.2"/>
    <s v="Expense"/>
    <n v="-452.80000000000018"/>
    <s v=""/>
    <s v=""/>
  </r>
  <r>
    <x v="3"/>
    <s v="Rent"/>
    <n v="20000"/>
    <n v="20000"/>
    <s v="Expense"/>
    <n v="0"/>
    <s v=""/>
    <s v=""/>
  </r>
  <r>
    <x v="3"/>
    <s v="Utilities"/>
    <n v="1487"/>
    <n v="1447.26"/>
    <s v="Expense"/>
    <n v="-39.740000000000009"/>
    <s v=""/>
    <s v=""/>
  </r>
  <r>
    <x v="3"/>
    <s v="Freelance"/>
    <n v="1858"/>
    <n v="1820.79"/>
    <s v="Income"/>
    <n v="-37.210000000000036"/>
    <n v="41820.79"/>
    <s v=""/>
  </r>
  <r>
    <x v="3"/>
    <s v="Salary"/>
    <n v="40000"/>
    <n v="40000"/>
    <s v="Income"/>
    <n v="0"/>
    <s v=""/>
    <s v=""/>
  </r>
  <r>
    <x v="4"/>
    <s v="Entertainment"/>
    <n v="1934"/>
    <n v="1806.56"/>
    <s v="Expense"/>
    <n v="-127.44000000000005"/>
    <s v=""/>
    <n v="27998.76"/>
  </r>
  <r>
    <x v="4"/>
    <s v="Groceries"/>
    <n v="4957"/>
    <n v="4659.26"/>
    <s v="Expense"/>
    <n v="-297.73999999999978"/>
    <s v=""/>
    <s v=""/>
  </r>
  <r>
    <x v="4"/>
    <s v="Rent"/>
    <n v="20000"/>
    <n v="20000"/>
    <s v="Expense"/>
    <n v="0"/>
    <s v=""/>
    <s v=""/>
  </r>
  <r>
    <x v="4"/>
    <s v="Utilities"/>
    <n v="1430"/>
    <n v="1532.94"/>
    <s v="Expense"/>
    <n v="102.94000000000005"/>
    <s v=""/>
    <s v=""/>
  </r>
  <r>
    <x v="4"/>
    <s v="Freelance"/>
    <n v="1854"/>
    <n v="2033.18"/>
    <s v="Income"/>
    <n v="179.18000000000006"/>
    <n v="42033.18"/>
    <s v=""/>
  </r>
  <r>
    <x v="4"/>
    <s v="Salary"/>
    <n v="40000"/>
    <n v="40000"/>
    <s v="Income"/>
    <n v="0"/>
    <s v=""/>
    <s v=""/>
  </r>
  <r>
    <x v="5"/>
    <s v="Entertainment"/>
    <n v="2145"/>
    <n v="1972.4"/>
    <s v="Expense"/>
    <n v="-172.59999999999991"/>
    <s v=""/>
    <n v="27238.539999999997"/>
  </r>
  <r>
    <x v="5"/>
    <s v="Groceries"/>
    <n v="4166"/>
    <n v="3760.45"/>
    <s v="Expense"/>
    <n v="-405.55000000000018"/>
    <s v=""/>
    <s v=""/>
  </r>
  <r>
    <x v="5"/>
    <s v="Rent"/>
    <n v="20000"/>
    <n v="20000"/>
    <s v="Expense"/>
    <n v="0"/>
    <s v=""/>
    <s v=""/>
  </r>
  <r>
    <x v="5"/>
    <s v="Utilities"/>
    <n v="1541"/>
    <n v="1505.69"/>
    <s v="Expense"/>
    <n v="-35.309999999999945"/>
    <s v=""/>
    <s v=""/>
  </r>
  <r>
    <x v="5"/>
    <s v="Freelance"/>
    <n v="1888"/>
    <n v="2063.8200000000002"/>
    <s v="Income"/>
    <n v="175.82000000000016"/>
    <n v="42063.82"/>
    <s v=""/>
  </r>
  <r>
    <x v="5"/>
    <s v="Salary"/>
    <n v="40000"/>
    <n v="40000"/>
    <s v="Income"/>
    <n v="0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AEEE1-E78A-4879-89A0-C83C352F65E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Type">
  <location ref="A3:C6" firstHeaderRow="0" firstDataRow="1" firstDataCol="1"/>
  <pivotFields count="6">
    <pivotField showAll="0"/>
    <pivotField showAll="0"/>
    <pivotField dataField="1" showAll="0"/>
    <pivotField dataField="1" showAll="0"/>
    <pivotField axis="axisRow" showAll="0">
      <items count="3">
        <item x="0"/>
        <item x="1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 BudgetedAmount" fld="2" baseField="4" baseItem="0"/>
    <dataField name="Sum of Actual_Amount" fld="3" baseField="0" baseItem="0"/>
  </dataFields>
  <formats count="12">
    <format dxfId="11">
      <pivotArea collapsedLevelsAreSubtotals="1" fieldPosition="0">
        <references count="1">
          <reference field="4" count="0"/>
        </references>
      </pivotArea>
    </format>
    <format dxfId="10">
      <pivotArea dataOnly="0" labelOnly="1" fieldPosition="0">
        <references count="1">
          <reference field="4" count="0"/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field="4" type="button" dataOnly="0" labelOnly="1" outline="0" axis="axisRow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8C55D-B258-4226-A002-9A5D5A51929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Month">
  <location ref="A3:D10" firstHeaderRow="0" firstDataRow="1" firstDataCol="1"/>
  <pivotFields count="8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Income" fld="6" baseField="0" baseItem="0"/>
    <dataField name="Sum of Total Expense" fld="7" baseField="0" baseItem="0"/>
    <dataField name="Sum of Variance" fld="5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C6BC6-3AD4-483A-8670-ED90FCDFF58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Category">
  <location ref="A3:C10" firstHeaderRow="0" firstDataRow="1" firstDataCol="1"/>
  <pivotFields count="6">
    <pivotField showAll="0"/>
    <pivotField axis="axisRow" showAll="0">
      <items count="7">
        <item x="0"/>
        <item x="4"/>
        <item x="1"/>
        <item x="2"/>
        <item x="5"/>
        <item x="3"/>
        <item t="default"/>
      </items>
    </pivotField>
    <pivotField dataField="1"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planned_amount" fld="2" baseField="1" baseItem="0"/>
    <dataField name="actual_amount(s or e)" fld="3" baseField="1" baseItem="0"/>
  </dataFields>
  <chartFormats count="4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4A9CC-85C8-40FE-B30E-1D3FE70EA19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Month">
  <location ref="A3:B10" firstHeaderRow="1" firstDataRow="1" firstDataCol="1"/>
  <pivotFields count="6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Variance(sum)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202B6-B17B-49AB-A7D9-24D0795BD1F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12" firstHeaderRow="1" firstDataRow="1" firstDataCol="1"/>
  <pivotFields count="6">
    <pivotField showAll="0"/>
    <pivotField axis="axisRow" showAll="0">
      <items count="7">
        <item x="0"/>
        <item x="4"/>
        <item x="1"/>
        <item x="2"/>
        <item x="5"/>
        <item x="3"/>
        <item t="default"/>
      </items>
    </pivotField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</pivotFields>
  <rowFields count="2">
    <field x="4"/>
    <field x="1"/>
  </rowFields>
  <rowItems count="9">
    <i>
      <x/>
    </i>
    <i r="1">
      <x/>
    </i>
    <i r="1">
      <x v="2"/>
    </i>
    <i r="1">
      <x v="3"/>
    </i>
    <i r="1">
      <x v="5"/>
    </i>
    <i>
      <x v="1"/>
    </i>
    <i r="1">
      <x v="1"/>
    </i>
    <i r="1">
      <x v="4"/>
    </i>
    <i t="grand">
      <x/>
    </i>
  </rowItems>
  <colItems count="1">
    <i/>
  </colItems>
  <dataFields count="1">
    <dataField name="Sum of Actual_Amount" fld="3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19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0"/>
          </reference>
        </references>
      </pivotArea>
    </chartFormat>
    <chartFormat chart="19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0"/>
          </reference>
        </references>
      </pivotArea>
    </chartFormat>
    <chartFormat chart="19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0"/>
          </reference>
        </references>
      </pivotArea>
    </chartFormat>
    <chartFormat chart="19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  <chartFormat chart="19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1"/>
          </reference>
        </references>
      </pivotArea>
    </chartFormat>
    <chartFormat chart="4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4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0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0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0"/>
          </reference>
        </references>
      </pivotArea>
    </chartFormat>
    <chartFormat chart="4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7A77-8E8E-41C3-A3B9-4B22B2AEE060}">
  <dimension ref="A1:H37"/>
  <sheetViews>
    <sheetView workbookViewId="0">
      <selection activeCell="N23" sqref="N23"/>
    </sheetView>
  </sheetViews>
  <sheetFormatPr defaultRowHeight="14.4" x14ac:dyDescent="0.3"/>
  <cols>
    <col min="2" max="2" width="12.33203125" customWidth="1"/>
    <col min="3" max="3" width="15.6640625" customWidth="1"/>
    <col min="4" max="4" width="13.21875" customWidth="1"/>
    <col min="5" max="5" width="7.6640625" customWidth="1"/>
    <col min="7" max="7" width="11.21875" customWidth="1"/>
    <col min="8" max="8" width="11.88671875" customWidth="1"/>
  </cols>
  <sheetData>
    <row r="1" spans="1:8" ht="16.8" customHeight="1" x14ac:dyDescent="0.3">
      <c r="A1" t="s">
        <v>10</v>
      </c>
      <c r="B1" t="s">
        <v>0</v>
      </c>
      <c r="C1" t="s">
        <v>2</v>
      </c>
      <c r="D1" t="s">
        <v>3</v>
      </c>
      <c r="E1" t="s">
        <v>1</v>
      </c>
      <c r="F1" t="s">
        <v>19</v>
      </c>
      <c r="G1" t="s">
        <v>17</v>
      </c>
      <c r="H1" t="s">
        <v>18</v>
      </c>
    </row>
    <row r="2" spans="1:8" x14ac:dyDescent="0.3">
      <c r="A2" t="s">
        <v>11</v>
      </c>
      <c r="B2" t="s">
        <v>9</v>
      </c>
      <c r="C2">
        <v>1921</v>
      </c>
      <c r="D2">
        <v>1788.83</v>
      </c>
      <c r="E2" t="str">
        <f t="shared" ref="E2:E37" si="0">IF(OR(B2="Salary",B2="Freelance"),"Income","Expense")</f>
        <v>Expense</v>
      </c>
      <c r="F2">
        <f t="shared" ref="F2:F37" si="1">D2-C2</f>
        <v>-132.17000000000007</v>
      </c>
      <c r="G2" t="str">
        <f>IF(AND(E2="Income", COUNTIFS($A$2:A2, A2, $E$2:E2, "Income")=1),
SUMIFS($D:$D, $A:$A, A2, $E:$E, "Income"), "")</f>
        <v/>
      </c>
      <c r="H2">
        <f>IF(AND(E2="Expense", COUNTIFS($A$2:A2, A2, $E$2:E2, "Expense")=1),
SUMIFS($D:$D, $A:$A, A2, $E:$E, "Expense"), "")</f>
        <v>27650.93</v>
      </c>
    </row>
    <row r="3" spans="1:8" x14ac:dyDescent="0.3">
      <c r="A3" t="s">
        <v>11</v>
      </c>
      <c r="B3" t="s">
        <v>6</v>
      </c>
      <c r="C3">
        <v>4102</v>
      </c>
      <c r="D3">
        <v>4345.28</v>
      </c>
      <c r="E3" t="str">
        <f t="shared" si="0"/>
        <v>Expense</v>
      </c>
      <c r="F3">
        <f t="shared" si="1"/>
        <v>243.27999999999975</v>
      </c>
      <c r="G3" t="str">
        <f>IF(AND(E3="Income", COUNTIFS($A$2:A3, A3, $E$2:E3, "Income")=1),
SUMIFS($D:$D, $A:$A, A3, $E:$E, "Income"), "")</f>
        <v/>
      </c>
      <c r="H3" t="str">
        <f>IF(AND(E3="Expense", COUNTIFS($A$2:A3, A3, $E$2:E3, "Expense")=1),
SUMIFS($D:$D, $A:$A, A3, $E:$E, "Expense"), "")</f>
        <v/>
      </c>
    </row>
    <row r="4" spans="1:8" x14ac:dyDescent="0.3">
      <c r="A4" t="s">
        <v>11</v>
      </c>
      <c r="B4" t="s">
        <v>5</v>
      </c>
      <c r="C4">
        <v>20000</v>
      </c>
      <c r="D4">
        <v>20000</v>
      </c>
      <c r="E4" t="str">
        <f t="shared" si="0"/>
        <v>Expense</v>
      </c>
      <c r="F4">
        <f t="shared" si="1"/>
        <v>0</v>
      </c>
      <c r="G4" t="str">
        <f>IF(AND(E4="Income", COUNTIFS($A$2:A4, A4, $E$2:E4, "Income")=1),
SUMIFS($D:$D, $A:$A, A4, $E:$E, "Income"), "")</f>
        <v/>
      </c>
      <c r="H4" t="str">
        <f>IF(AND(E4="Expense", COUNTIFS($A$2:A4, A4, $E$2:E4, "Expense")=1),
SUMIFS($D:$D, $A:$A, A4, $E:$E, "Expense"), "")</f>
        <v/>
      </c>
    </row>
    <row r="5" spans="1:8" x14ac:dyDescent="0.3">
      <c r="A5" t="s">
        <v>11</v>
      </c>
      <c r="B5" t="s">
        <v>8</v>
      </c>
      <c r="C5">
        <v>1488</v>
      </c>
      <c r="D5">
        <v>1516.82</v>
      </c>
      <c r="E5" t="str">
        <f t="shared" si="0"/>
        <v>Expense</v>
      </c>
      <c r="F5">
        <f t="shared" si="1"/>
        <v>28.819999999999936</v>
      </c>
      <c r="G5" t="str">
        <f>IF(AND(E5="Income", COUNTIFS($A$2:A5, A5, $E$2:E5, "Income")=1),
SUMIFS($D:$D, $A:$A, A5, $E:$E, "Income"), "")</f>
        <v/>
      </c>
      <c r="H5" t="str">
        <f>IF(AND(E5="Expense", COUNTIFS($A$2:A5, A5, $E$2:E5, "Expense")=1),
SUMIFS($D:$D, $A:$A, A5, $E:$E, "Expense"), "")</f>
        <v/>
      </c>
    </row>
    <row r="6" spans="1:8" x14ac:dyDescent="0.3">
      <c r="A6" t="s">
        <v>11</v>
      </c>
      <c r="B6" t="s">
        <v>7</v>
      </c>
      <c r="C6">
        <v>2070</v>
      </c>
      <c r="D6">
        <v>2166.0500000000002</v>
      </c>
      <c r="E6" t="str">
        <f t="shared" si="0"/>
        <v>Income</v>
      </c>
      <c r="F6">
        <f t="shared" si="1"/>
        <v>96.050000000000182</v>
      </c>
      <c r="G6">
        <f>IF(AND(E6="Income", COUNTIFS($A$2:A6, A6, $E$2:E6, "Income")=1),
SUMIFS($D:$D, $A:$A, A6, $E:$E, "Income"), "")</f>
        <v>42166.05</v>
      </c>
      <c r="H6" t="str">
        <f>IF(AND(E6="Expense", COUNTIFS($A$2:A6, A6, $E$2:E6, "Expense")=1),
SUMIFS($D:$D, $A:$A, A6, $E:$E, "Expense"), "")</f>
        <v/>
      </c>
    </row>
    <row r="7" spans="1:8" x14ac:dyDescent="0.3">
      <c r="A7" t="s">
        <v>11</v>
      </c>
      <c r="B7" t="s">
        <v>4</v>
      </c>
      <c r="C7">
        <v>40000</v>
      </c>
      <c r="D7">
        <v>40000</v>
      </c>
      <c r="E7" t="str">
        <f t="shared" si="0"/>
        <v>Income</v>
      </c>
      <c r="F7">
        <f t="shared" si="1"/>
        <v>0</v>
      </c>
      <c r="G7" t="str">
        <f>IF(AND(E7="Income", COUNTIFS($A$2:A7, A7, $E$2:E7, "Income")=1),
SUMIFS($D:$D, $A:$A, A7, $E:$E, "Income"), "")</f>
        <v/>
      </c>
      <c r="H7" t="str">
        <f>IF(AND(E7="Expense", COUNTIFS($A$2:A7, A7, $E$2:E7, "Expense")=1),
SUMIFS($D:$D, $A:$A, A7, $E:$E, "Expense"), "")</f>
        <v/>
      </c>
    </row>
    <row r="8" spans="1:8" x14ac:dyDescent="0.3">
      <c r="A8" t="s">
        <v>12</v>
      </c>
      <c r="B8" t="s">
        <v>9</v>
      </c>
      <c r="C8">
        <v>2108</v>
      </c>
      <c r="D8">
        <v>2306.11</v>
      </c>
      <c r="E8" t="str">
        <f t="shared" si="0"/>
        <v>Expense</v>
      </c>
      <c r="F8">
        <f t="shared" si="1"/>
        <v>198.11000000000013</v>
      </c>
      <c r="G8" t="str">
        <f>IF(AND(E8="Income", COUNTIFS($A$2:A8, A8, $E$2:E8, "Income")=1),
SUMIFS($D:$D, $A:$A, A8, $E:$E, "Income"), "")</f>
        <v/>
      </c>
      <c r="H8">
        <f>IF(AND(E8="Expense", COUNTIFS($A$2:A8, A8, $E$2:E8, "Expense")=1),
SUMIFS($D:$D, $A:$A, A8, $E:$E, "Expense"), "")</f>
        <v>28095.61</v>
      </c>
    </row>
    <row r="9" spans="1:8" x14ac:dyDescent="0.3">
      <c r="A9" t="s">
        <v>12</v>
      </c>
      <c r="B9" t="s">
        <v>6</v>
      </c>
      <c r="C9">
        <v>4330</v>
      </c>
      <c r="D9">
        <v>4294.71</v>
      </c>
      <c r="E9" t="str">
        <f t="shared" si="0"/>
        <v>Expense</v>
      </c>
      <c r="F9">
        <f t="shared" si="1"/>
        <v>-35.289999999999964</v>
      </c>
      <c r="G9" t="str">
        <f>IF(AND(E9="Income", COUNTIFS($A$2:A9, A9, $E$2:E9, "Income")=1),
SUMIFS($D:$D, $A:$A, A9, $E:$E, "Income"), "")</f>
        <v/>
      </c>
      <c r="H9" t="str">
        <f>IF(AND(E9="Expense", COUNTIFS($A$2:A9, A9, $E$2:E9, "Expense")=1),
SUMIFS($D:$D, $A:$A, A9, $E:$E, "Expense"), "")</f>
        <v/>
      </c>
    </row>
    <row r="10" spans="1:8" x14ac:dyDescent="0.3">
      <c r="A10" t="s">
        <v>12</v>
      </c>
      <c r="B10" t="s">
        <v>5</v>
      </c>
      <c r="C10">
        <v>20000</v>
      </c>
      <c r="D10">
        <v>20000</v>
      </c>
      <c r="E10" t="str">
        <f t="shared" si="0"/>
        <v>Expense</v>
      </c>
      <c r="F10">
        <f t="shared" si="1"/>
        <v>0</v>
      </c>
      <c r="G10" t="str">
        <f>IF(AND(E10="Income", COUNTIFS($A$2:A10, A10, $E$2:E10, "Income")=1),
SUMIFS($D:$D, $A:$A, A10, $E:$E, "Income"), "")</f>
        <v/>
      </c>
      <c r="H10" t="str">
        <f>IF(AND(E10="Expense", COUNTIFS($A$2:A10, A10, $E$2:E10, "Expense")=1),
SUMIFS($D:$D, $A:$A, A10, $E:$E, "Expense"), "")</f>
        <v/>
      </c>
    </row>
    <row r="11" spans="1:8" x14ac:dyDescent="0.3">
      <c r="A11" t="s">
        <v>12</v>
      </c>
      <c r="B11" t="s">
        <v>8</v>
      </c>
      <c r="C11">
        <v>1451</v>
      </c>
      <c r="D11">
        <v>1494.79</v>
      </c>
      <c r="E11" t="str">
        <f t="shared" si="0"/>
        <v>Expense</v>
      </c>
      <c r="F11">
        <f t="shared" si="1"/>
        <v>43.789999999999964</v>
      </c>
      <c r="G11" t="str">
        <f>IF(AND(E11="Income", COUNTIFS($A$2:A11, A11, $E$2:E11, "Income")=1),
SUMIFS($D:$D, $A:$A, A11, $E:$E, "Income"), "")</f>
        <v/>
      </c>
      <c r="H11" t="str">
        <f>IF(AND(E11="Expense", COUNTIFS($A$2:A11, A11, $E$2:E11, "Expense")=1),
SUMIFS($D:$D, $A:$A, A11, $E:$E, "Expense"), "")</f>
        <v/>
      </c>
    </row>
    <row r="12" spans="1:8" x14ac:dyDescent="0.3">
      <c r="A12" t="s">
        <v>12</v>
      </c>
      <c r="B12" t="s">
        <v>7</v>
      </c>
      <c r="C12">
        <v>2172</v>
      </c>
      <c r="D12">
        <v>2215.92</v>
      </c>
      <c r="E12" t="str">
        <f t="shared" si="0"/>
        <v>Income</v>
      </c>
      <c r="F12">
        <f t="shared" si="1"/>
        <v>43.920000000000073</v>
      </c>
      <c r="G12">
        <f>IF(AND(E12="Income", COUNTIFS($A$2:A12, A12, $E$2:E12, "Income")=1),
SUMIFS($D:$D, $A:$A, A12, $E:$E, "Income"), "")</f>
        <v>42215.92</v>
      </c>
      <c r="H12" t="str">
        <f>IF(AND(E12="Expense", COUNTIFS($A$2:A12, A12, $E$2:E12, "Expense")=1),
SUMIFS($D:$D, $A:$A, A12, $E:$E, "Expense"), "")</f>
        <v/>
      </c>
    </row>
    <row r="13" spans="1:8" x14ac:dyDescent="0.3">
      <c r="A13" t="s">
        <v>12</v>
      </c>
      <c r="B13" t="s">
        <v>4</v>
      </c>
      <c r="C13">
        <v>40000</v>
      </c>
      <c r="D13">
        <v>40000</v>
      </c>
      <c r="E13" t="str">
        <f t="shared" si="0"/>
        <v>Income</v>
      </c>
      <c r="F13">
        <f t="shared" si="1"/>
        <v>0</v>
      </c>
      <c r="G13" t="str">
        <f>IF(AND(E13="Income", COUNTIFS($A$2:A13, A13, $E$2:E13, "Income")=1),
SUMIFS($D:$D, $A:$A, A13, $E:$E, "Income"), "")</f>
        <v/>
      </c>
      <c r="H13" t="str">
        <f>IF(AND(E13="Expense", COUNTIFS($A$2:A13, A13, $E$2:E13, "Expense")=1),
SUMIFS($D:$D, $A:$A, A13, $E:$E, "Expense"), "")</f>
        <v/>
      </c>
    </row>
    <row r="14" spans="1:8" x14ac:dyDescent="0.3">
      <c r="A14" t="s">
        <v>13</v>
      </c>
      <c r="B14" t="s">
        <v>9</v>
      </c>
      <c r="C14">
        <v>2113</v>
      </c>
      <c r="D14">
        <v>2123.46</v>
      </c>
      <c r="E14" t="str">
        <f t="shared" si="0"/>
        <v>Expense</v>
      </c>
      <c r="F14">
        <f t="shared" si="1"/>
        <v>10.460000000000036</v>
      </c>
      <c r="G14" t="str">
        <f>IF(AND(E14="Income", COUNTIFS($A$2:A14, A14, $E$2:E14, "Income")=1),
SUMIFS($D:$D, $A:$A, A14, $E:$E, "Income"), "")</f>
        <v/>
      </c>
      <c r="H14">
        <f>IF(AND(E14="Expense", COUNTIFS($A$2:A14, A14, $E$2:E14, "Expense")=1),
SUMIFS($D:$D, $A:$A, A14, $E:$E, "Expense"), "")</f>
        <v>28621.399999999998</v>
      </c>
    </row>
    <row r="15" spans="1:8" x14ac:dyDescent="0.3">
      <c r="A15" t="s">
        <v>13</v>
      </c>
      <c r="B15" t="s">
        <v>6</v>
      </c>
      <c r="C15">
        <v>4491</v>
      </c>
      <c r="D15">
        <v>4884.91</v>
      </c>
      <c r="E15" t="str">
        <f t="shared" si="0"/>
        <v>Expense</v>
      </c>
      <c r="F15">
        <f t="shared" si="1"/>
        <v>393.90999999999985</v>
      </c>
      <c r="G15" t="str">
        <f>IF(AND(E15="Income", COUNTIFS($A$2:A15, A15, $E$2:E15, "Income")=1),
SUMIFS($D:$D, $A:$A, A15, $E:$E, "Income"), "")</f>
        <v/>
      </c>
      <c r="H15" t="str">
        <f>IF(AND(E15="Expense", COUNTIFS($A$2:A15, A15, $E$2:E15, "Expense")=1),
SUMIFS($D:$D, $A:$A, A15, $E:$E, "Expense"), "")</f>
        <v/>
      </c>
    </row>
    <row r="16" spans="1:8" x14ac:dyDescent="0.3">
      <c r="A16" t="s">
        <v>13</v>
      </c>
      <c r="B16" t="s">
        <v>5</v>
      </c>
      <c r="C16">
        <v>20000</v>
      </c>
      <c r="D16">
        <v>20000</v>
      </c>
      <c r="E16" t="str">
        <f t="shared" si="0"/>
        <v>Expense</v>
      </c>
      <c r="F16">
        <f t="shared" si="1"/>
        <v>0</v>
      </c>
      <c r="G16" t="str">
        <f>IF(AND(E16="Income", COUNTIFS($A$2:A16, A16, $E$2:E16, "Income")=1),
SUMIFS($D:$D, $A:$A, A16, $E:$E, "Income"), "")</f>
        <v/>
      </c>
      <c r="H16" t="str">
        <f>IF(AND(E16="Expense", COUNTIFS($A$2:A16, A16, $E$2:E16, "Expense")=1),
SUMIFS($D:$D, $A:$A, A16, $E:$E, "Expense"), "")</f>
        <v/>
      </c>
    </row>
    <row r="17" spans="1:8" x14ac:dyDescent="0.3">
      <c r="A17" t="s">
        <v>13</v>
      </c>
      <c r="B17" t="s">
        <v>8</v>
      </c>
      <c r="C17">
        <v>1576</v>
      </c>
      <c r="D17">
        <v>1613.03</v>
      </c>
      <c r="E17" t="str">
        <f t="shared" si="0"/>
        <v>Expense</v>
      </c>
      <c r="F17">
        <f t="shared" si="1"/>
        <v>37.029999999999973</v>
      </c>
      <c r="G17" t="str">
        <f>IF(AND(E17="Income", COUNTIFS($A$2:A17, A17, $E$2:E17, "Income")=1),
SUMIFS($D:$D, $A:$A, A17, $E:$E, "Income"), "")</f>
        <v/>
      </c>
      <c r="H17" t="str">
        <f>IF(AND(E17="Expense", COUNTIFS($A$2:A17, A17, $E$2:E17, "Expense")=1),
SUMIFS($D:$D, $A:$A, A17, $E:$E, "Expense"), "")</f>
        <v/>
      </c>
    </row>
    <row r="18" spans="1:8" x14ac:dyDescent="0.3">
      <c r="A18" t="s">
        <v>13</v>
      </c>
      <c r="B18" t="s">
        <v>7</v>
      </c>
      <c r="C18">
        <v>2185</v>
      </c>
      <c r="D18">
        <v>2045.96</v>
      </c>
      <c r="E18" t="str">
        <f t="shared" si="0"/>
        <v>Income</v>
      </c>
      <c r="F18">
        <f t="shared" si="1"/>
        <v>-139.03999999999996</v>
      </c>
      <c r="G18">
        <f>IF(AND(E18="Income", COUNTIFS($A$2:A18, A18, $E$2:E18, "Income")=1),
SUMIFS($D:$D, $A:$A, A18, $E:$E, "Income"), "")</f>
        <v>42045.96</v>
      </c>
      <c r="H18" t="str">
        <f>IF(AND(E18="Expense", COUNTIFS($A$2:A18, A18, $E$2:E18, "Expense")=1),
SUMIFS($D:$D, $A:$A, A18, $E:$E, "Expense"), "")</f>
        <v/>
      </c>
    </row>
    <row r="19" spans="1:8" x14ac:dyDescent="0.3">
      <c r="A19" t="s">
        <v>13</v>
      </c>
      <c r="B19" t="s">
        <v>4</v>
      </c>
      <c r="C19">
        <v>40000</v>
      </c>
      <c r="D19">
        <v>40000</v>
      </c>
      <c r="E19" t="str">
        <f t="shared" si="0"/>
        <v>Income</v>
      </c>
      <c r="F19">
        <f t="shared" si="1"/>
        <v>0</v>
      </c>
      <c r="G19" t="str">
        <f>IF(AND(E19="Income", COUNTIFS($A$2:A19, A19, $E$2:E19, "Income")=1),
SUMIFS($D:$D, $A:$A, A19, $E:$E, "Income"), "")</f>
        <v/>
      </c>
      <c r="H19" t="str">
        <f>IF(AND(E19="Expense", COUNTIFS($A$2:A19, A19, $E$2:E19, "Expense")=1),
SUMIFS($D:$D, $A:$A, A19, $E:$E, "Expense"), "")</f>
        <v/>
      </c>
    </row>
    <row r="20" spans="1:8" x14ac:dyDescent="0.3">
      <c r="A20" t="s">
        <v>14</v>
      </c>
      <c r="B20" t="s">
        <v>9</v>
      </c>
      <c r="C20">
        <v>1989</v>
      </c>
      <c r="D20">
        <v>1826.14</v>
      </c>
      <c r="E20" t="str">
        <f t="shared" si="0"/>
        <v>Expense</v>
      </c>
      <c r="F20">
        <f t="shared" si="1"/>
        <v>-162.8599999999999</v>
      </c>
      <c r="G20" t="str">
        <f>IF(AND(E20="Income", COUNTIFS($A$2:A20, A20, $E$2:E20, "Income")=1),
SUMIFS($D:$D, $A:$A, A20, $E:$E, "Income"), "")</f>
        <v/>
      </c>
      <c r="H20">
        <f>IF(AND(E20="Expense", COUNTIFS($A$2:A20, A20, $E$2:E20, "Expense")=1),
SUMIFS($D:$D, $A:$A, A20, $E:$E, "Expense"), "")</f>
        <v>27567.599999999999</v>
      </c>
    </row>
    <row r="21" spans="1:8" x14ac:dyDescent="0.3">
      <c r="A21" t="s">
        <v>14</v>
      </c>
      <c r="B21" t="s">
        <v>6</v>
      </c>
      <c r="C21">
        <v>4747</v>
      </c>
      <c r="D21">
        <v>4294.2</v>
      </c>
      <c r="E21" t="str">
        <f t="shared" si="0"/>
        <v>Expense</v>
      </c>
      <c r="F21">
        <f t="shared" si="1"/>
        <v>-452.80000000000018</v>
      </c>
      <c r="G21" t="str">
        <f>IF(AND(E21="Income", COUNTIFS($A$2:A21, A21, $E$2:E21, "Income")=1),
SUMIFS($D:$D, $A:$A, A21, $E:$E, "Income"), "")</f>
        <v/>
      </c>
      <c r="H21" t="str">
        <f>IF(AND(E21="Expense", COUNTIFS($A$2:A21, A21, $E$2:E21, "Expense")=1),
SUMIFS($D:$D, $A:$A, A21, $E:$E, "Expense"), "")</f>
        <v/>
      </c>
    </row>
    <row r="22" spans="1:8" x14ac:dyDescent="0.3">
      <c r="A22" t="s">
        <v>14</v>
      </c>
      <c r="B22" t="s">
        <v>5</v>
      </c>
      <c r="C22">
        <v>20000</v>
      </c>
      <c r="D22">
        <v>20000</v>
      </c>
      <c r="E22" t="str">
        <f t="shared" si="0"/>
        <v>Expense</v>
      </c>
      <c r="F22">
        <f t="shared" si="1"/>
        <v>0</v>
      </c>
      <c r="G22" t="str">
        <f>IF(AND(E22="Income", COUNTIFS($A$2:A22, A22, $E$2:E22, "Income")=1),
SUMIFS($D:$D, $A:$A, A22, $E:$E, "Income"), "")</f>
        <v/>
      </c>
      <c r="H22" t="str">
        <f>IF(AND(E22="Expense", COUNTIFS($A$2:A22, A22, $E$2:E22, "Expense")=1),
SUMIFS($D:$D, $A:$A, A22, $E:$E, "Expense"), "")</f>
        <v/>
      </c>
    </row>
    <row r="23" spans="1:8" x14ac:dyDescent="0.3">
      <c r="A23" t="s">
        <v>14</v>
      </c>
      <c r="B23" t="s">
        <v>8</v>
      </c>
      <c r="C23">
        <v>1487</v>
      </c>
      <c r="D23">
        <v>1447.26</v>
      </c>
      <c r="E23" t="str">
        <f t="shared" si="0"/>
        <v>Expense</v>
      </c>
      <c r="F23">
        <f t="shared" si="1"/>
        <v>-39.740000000000009</v>
      </c>
      <c r="G23" t="str">
        <f>IF(AND(E23="Income", COUNTIFS($A$2:A23, A23, $E$2:E23, "Income")=1),
SUMIFS($D:$D, $A:$A, A23, $E:$E, "Income"), "")</f>
        <v/>
      </c>
      <c r="H23" t="str">
        <f>IF(AND(E23="Expense", COUNTIFS($A$2:A23, A23, $E$2:E23, "Expense")=1),
SUMIFS($D:$D, $A:$A, A23, $E:$E, "Expense"), "")</f>
        <v/>
      </c>
    </row>
    <row r="24" spans="1:8" x14ac:dyDescent="0.3">
      <c r="A24" t="s">
        <v>14</v>
      </c>
      <c r="B24" t="s">
        <v>7</v>
      </c>
      <c r="C24">
        <v>1858</v>
      </c>
      <c r="D24">
        <v>1820.79</v>
      </c>
      <c r="E24" t="str">
        <f t="shared" si="0"/>
        <v>Income</v>
      </c>
      <c r="F24">
        <f t="shared" si="1"/>
        <v>-37.210000000000036</v>
      </c>
      <c r="G24">
        <f>IF(AND(E24="Income", COUNTIFS($A$2:A24, A24, $E$2:E24, "Income")=1),
SUMIFS($D:$D, $A:$A, A24, $E:$E, "Income"), "")</f>
        <v>41820.79</v>
      </c>
      <c r="H24" t="str">
        <f>IF(AND(E24="Expense", COUNTIFS($A$2:A24, A24, $E$2:E24, "Expense")=1),
SUMIFS($D:$D, $A:$A, A24, $E:$E, "Expense"), "")</f>
        <v/>
      </c>
    </row>
    <row r="25" spans="1:8" x14ac:dyDescent="0.3">
      <c r="A25" t="s">
        <v>14</v>
      </c>
      <c r="B25" t="s">
        <v>4</v>
      </c>
      <c r="C25">
        <v>40000</v>
      </c>
      <c r="D25">
        <v>40000</v>
      </c>
      <c r="E25" t="str">
        <f t="shared" si="0"/>
        <v>Income</v>
      </c>
      <c r="F25">
        <f t="shared" si="1"/>
        <v>0</v>
      </c>
      <c r="G25" t="str">
        <f>IF(AND(E25="Income", COUNTIFS($A$2:A25, A25, $E$2:E25, "Income")=1),
SUMIFS($D:$D, $A:$A, A25, $E:$E, "Income"), "")</f>
        <v/>
      </c>
      <c r="H25" t="str">
        <f>IF(AND(E25="Expense", COUNTIFS($A$2:A25, A25, $E$2:E25, "Expense")=1),
SUMIFS($D:$D, $A:$A, A25, $E:$E, "Expense"), "")</f>
        <v/>
      </c>
    </row>
    <row r="26" spans="1:8" x14ac:dyDescent="0.3">
      <c r="A26" t="s">
        <v>15</v>
      </c>
      <c r="B26" t="s">
        <v>9</v>
      </c>
      <c r="C26">
        <v>1934</v>
      </c>
      <c r="D26">
        <v>1806.56</v>
      </c>
      <c r="E26" t="str">
        <f t="shared" si="0"/>
        <v>Expense</v>
      </c>
      <c r="F26">
        <f t="shared" si="1"/>
        <v>-127.44000000000005</v>
      </c>
      <c r="G26" t="str">
        <f>IF(AND(E26="Income", COUNTIFS($A$2:A26, A26, $E$2:E26, "Income")=1),
SUMIFS($D:$D, $A:$A, A26, $E:$E, "Income"), "")</f>
        <v/>
      </c>
      <c r="H26">
        <f>IF(AND(E26="Expense", COUNTIFS($A$2:A26, A26, $E$2:E26, "Expense")=1),
SUMIFS($D:$D, $A:$A, A26, $E:$E, "Expense"), "")</f>
        <v>27998.76</v>
      </c>
    </row>
    <row r="27" spans="1:8" x14ac:dyDescent="0.3">
      <c r="A27" t="s">
        <v>15</v>
      </c>
      <c r="B27" t="s">
        <v>6</v>
      </c>
      <c r="C27">
        <v>4957</v>
      </c>
      <c r="D27">
        <v>4659.26</v>
      </c>
      <c r="E27" t="str">
        <f t="shared" si="0"/>
        <v>Expense</v>
      </c>
      <c r="F27">
        <f t="shared" si="1"/>
        <v>-297.73999999999978</v>
      </c>
      <c r="G27" t="str">
        <f>IF(AND(E27="Income", COUNTIFS($A$2:A27, A27, $E$2:E27, "Income")=1),
SUMIFS($D:$D, $A:$A, A27, $E:$E, "Income"), "")</f>
        <v/>
      </c>
      <c r="H27" t="str">
        <f>IF(AND(E27="Expense", COUNTIFS($A$2:A27, A27, $E$2:E27, "Expense")=1),
SUMIFS($D:$D, $A:$A, A27, $E:$E, "Expense"), "")</f>
        <v/>
      </c>
    </row>
    <row r="28" spans="1:8" x14ac:dyDescent="0.3">
      <c r="A28" t="s">
        <v>15</v>
      </c>
      <c r="B28" t="s">
        <v>5</v>
      </c>
      <c r="C28">
        <v>20000</v>
      </c>
      <c r="D28">
        <v>20000</v>
      </c>
      <c r="E28" t="str">
        <f t="shared" si="0"/>
        <v>Expense</v>
      </c>
      <c r="F28">
        <f t="shared" si="1"/>
        <v>0</v>
      </c>
      <c r="G28" t="str">
        <f>IF(AND(E28="Income", COUNTIFS($A$2:A28, A28, $E$2:E28, "Income")=1),
SUMIFS($D:$D, $A:$A, A28, $E:$E, "Income"), "")</f>
        <v/>
      </c>
      <c r="H28" t="str">
        <f>IF(AND(E28="Expense", COUNTIFS($A$2:A28, A28, $E$2:E28, "Expense")=1),
SUMIFS($D:$D, $A:$A, A28, $E:$E, "Expense"), "")</f>
        <v/>
      </c>
    </row>
    <row r="29" spans="1:8" x14ac:dyDescent="0.3">
      <c r="A29" t="s">
        <v>15</v>
      </c>
      <c r="B29" t="s">
        <v>8</v>
      </c>
      <c r="C29">
        <v>1430</v>
      </c>
      <c r="D29">
        <v>1532.94</v>
      </c>
      <c r="E29" t="str">
        <f t="shared" si="0"/>
        <v>Expense</v>
      </c>
      <c r="F29">
        <f t="shared" si="1"/>
        <v>102.94000000000005</v>
      </c>
      <c r="G29" t="str">
        <f>IF(AND(E29="Income", COUNTIFS($A$2:A29, A29, $E$2:E29, "Income")=1),
SUMIFS($D:$D, $A:$A, A29, $E:$E, "Income"), "")</f>
        <v/>
      </c>
      <c r="H29" t="str">
        <f>IF(AND(E29="Expense", COUNTIFS($A$2:A29, A29, $E$2:E29, "Expense")=1),
SUMIFS($D:$D, $A:$A, A29, $E:$E, "Expense"), "")</f>
        <v/>
      </c>
    </row>
    <row r="30" spans="1:8" x14ac:dyDescent="0.3">
      <c r="A30" t="s">
        <v>15</v>
      </c>
      <c r="B30" t="s">
        <v>7</v>
      </c>
      <c r="C30">
        <v>1854</v>
      </c>
      <c r="D30">
        <v>2033.18</v>
      </c>
      <c r="E30" t="str">
        <f t="shared" si="0"/>
        <v>Income</v>
      </c>
      <c r="F30">
        <f t="shared" si="1"/>
        <v>179.18000000000006</v>
      </c>
      <c r="G30">
        <f>IF(AND(E30="Income", COUNTIFS($A$2:A30, A30, $E$2:E30, "Income")=1),
SUMIFS($D:$D, $A:$A, A30, $E:$E, "Income"), "")</f>
        <v>42033.18</v>
      </c>
      <c r="H30" t="str">
        <f>IF(AND(E30="Expense", COUNTIFS($A$2:A30, A30, $E$2:E30, "Expense")=1),
SUMIFS($D:$D, $A:$A, A30, $E:$E, "Expense"), "")</f>
        <v/>
      </c>
    </row>
    <row r="31" spans="1:8" x14ac:dyDescent="0.3">
      <c r="A31" t="s">
        <v>15</v>
      </c>
      <c r="B31" t="s">
        <v>4</v>
      </c>
      <c r="C31">
        <v>40000</v>
      </c>
      <c r="D31">
        <v>40000</v>
      </c>
      <c r="E31" t="str">
        <f t="shared" si="0"/>
        <v>Income</v>
      </c>
      <c r="F31">
        <f t="shared" si="1"/>
        <v>0</v>
      </c>
      <c r="G31" t="str">
        <f>IF(AND(E31="Income", COUNTIFS($A$2:A31, A31, $E$2:E31, "Income")=1),
SUMIFS($D:$D, $A:$A, A31, $E:$E, "Income"), "")</f>
        <v/>
      </c>
      <c r="H31" t="str">
        <f>IF(AND(E31="Expense", COUNTIFS($A$2:A31, A31, $E$2:E31, "Expense")=1),
SUMIFS($D:$D, $A:$A, A31, $E:$E, "Expense"), "")</f>
        <v/>
      </c>
    </row>
    <row r="32" spans="1:8" x14ac:dyDescent="0.3">
      <c r="A32" t="s">
        <v>16</v>
      </c>
      <c r="B32" t="s">
        <v>9</v>
      </c>
      <c r="C32">
        <v>2145</v>
      </c>
      <c r="D32">
        <v>1972.4</v>
      </c>
      <c r="E32" t="str">
        <f t="shared" si="0"/>
        <v>Expense</v>
      </c>
      <c r="F32">
        <f t="shared" si="1"/>
        <v>-172.59999999999991</v>
      </c>
      <c r="G32" t="str">
        <f>IF(AND(E32="Income", COUNTIFS($A$2:A32, A32, $E$2:E32, "Income")=1),
SUMIFS($D:$D, $A:$A, A32, $E:$E, "Income"), "")</f>
        <v/>
      </c>
      <c r="H32">
        <f>IF(AND(E32="Expense", COUNTIFS($A$2:A32, A32, $E$2:E32, "Expense")=1),
SUMIFS($D:$D, $A:$A, A32, $E:$E, "Expense"), "")</f>
        <v>27238.539999999997</v>
      </c>
    </row>
    <row r="33" spans="1:8" x14ac:dyDescent="0.3">
      <c r="A33" t="s">
        <v>16</v>
      </c>
      <c r="B33" t="s">
        <v>6</v>
      </c>
      <c r="C33">
        <v>4166</v>
      </c>
      <c r="D33">
        <v>3760.45</v>
      </c>
      <c r="E33" t="str">
        <f t="shared" si="0"/>
        <v>Expense</v>
      </c>
      <c r="F33">
        <f t="shared" si="1"/>
        <v>-405.55000000000018</v>
      </c>
      <c r="G33" t="str">
        <f>IF(AND(E33="Income", COUNTIFS($A$2:A33, A33, $E$2:E33, "Income")=1),
SUMIFS($D:$D, $A:$A, A33, $E:$E, "Income"), "")</f>
        <v/>
      </c>
      <c r="H33" t="str">
        <f>IF(AND(E33="Expense", COUNTIFS($A$2:A33, A33, $E$2:E33, "Expense")=1),
SUMIFS($D:$D, $A:$A, A33, $E:$E, "Expense"), "")</f>
        <v/>
      </c>
    </row>
    <row r="34" spans="1:8" x14ac:dyDescent="0.3">
      <c r="A34" t="s">
        <v>16</v>
      </c>
      <c r="B34" t="s">
        <v>5</v>
      </c>
      <c r="C34">
        <v>20000</v>
      </c>
      <c r="D34">
        <v>20000</v>
      </c>
      <c r="E34" t="str">
        <f t="shared" si="0"/>
        <v>Expense</v>
      </c>
      <c r="F34">
        <f t="shared" si="1"/>
        <v>0</v>
      </c>
      <c r="G34" t="str">
        <f>IF(AND(E34="Income", COUNTIFS($A$2:A34, A34, $E$2:E34, "Income")=1),
SUMIFS($D:$D, $A:$A, A34, $E:$E, "Income"), "")</f>
        <v/>
      </c>
      <c r="H34" t="str">
        <f>IF(AND(E34="Expense", COUNTIFS($A$2:A34, A34, $E$2:E34, "Expense")=1),
SUMIFS($D:$D, $A:$A, A34, $E:$E, "Expense"), "")</f>
        <v/>
      </c>
    </row>
    <row r="35" spans="1:8" x14ac:dyDescent="0.3">
      <c r="A35" t="s">
        <v>16</v>
      </c>
      <c r="B35" t="s">
        <v>8</v>
      </c>
      <c r="C35">
        <v>1541</v>
      </c>
      <c r="D35">
        <v>1505.69</v>
      </c>
      <c r="E35" t="str">
        <f t="shared" si="0"/>
        <v>Expense</v>
      </c>
      <c r="F35">
        <f t="shared" si="1"/>
        <v>-35.309999999999945</v>
      </c>
      <c r="G35" t="str">
        <f>IF(AND(E35="Income", COUNTIFS($A$2:A35, A35, $E$2:E35, "Income")=1),
SUMIFS($D:$D, $A:$A, A35, $E:$E, "Income"), "")</f>
        <v/>
      </c>
      <c r="H35" t="str">
        <f>IF(AND(E35="Expense", COUNTIFS($A$2:A35, A35, $E$2:E35, "Expense")=1),
SUMIFS($D:$D, $A:$A, A35, $E:$E, "Expense"), "")</f>
        <v/>
      </c>
    </row>
    <row r="36" spans="1:8" x14ac:dyDescent="0.3">
      <c r="A36" t="s">
        <v>16</v>
      </c>
      <c r="B36" t="s">
        <v>7</v>
      </c>
      <c r="C36">
        <v>1888</v>
      </c>
      <c r="D36">
        <v>2063.8200000000002</v>
      </c>
      <c r="E36" t="str">
        <f t="shared" si="0"/>
        <v>Income</v>
      </c>
      <c r="F36">
        <f t="shared" si="1"/>
        <v>175.82000000000016</v>
      </c>
      <c r="G36">
        <f>IF(AND(E36="Income", COUNTIFS($A$2:A36, A36, $E$2:E36, "Income")=1),
SUMIFS($D:$D, $A:$A, A36, $E:$E, "Income"), "")</f>
        <v>42063.82</v>
      </c>
      <c r="H36" t="str">
        <f>IF(AND(E36="Expense", COUNTIFS($A$2:A36, A36, $E$2:E36, "Expense")=1),
SUMIFS($D:$D, $A:$A, A36, $E:$E, "Expense"), "")</f>
        <v/>
      </c>
    </row>
    <row r="37" spans="1:8" x14ac:dyDescent="0.3">
      <c r="A37" t="s">
        <v>16</v>
      </c>
      <c r="B37" t="s">
        <v>4</v>
      </c>
      <c r="C37">
        <v>40000</v>
      </c>
      <c r="D37">
        <v>40000</v>
      </c>
      <c r="E37" t="str">
        <f t="shared" si="0"/>
        <v>Income</v>
      </c>
      <c r="F37">
        <f t="shared" si="1"/>
        <v>0</v>
      </c>
      <c r="G37" t="str">
        <f>IF(AND(E37="Income", COUNTIFS($A$2:A37, A37, $E$2:E37, "Income")=1),
SUMIFS($D:$D, $A:$A, A37, $E:$E, "Income"), "")</f>
        <v/>
      </c>
      <c r="H37" t="str">
        <f>IF(AND(E37="Expense", COUNTIFS($A$2:A37, A37, $E$2:E37, "Expense")=1),
SUMIFS($D:$D, $A:$A, A37, $E:$E, "Expense"), "")</f>
        <v/>
      </c>
    </row>
  </sheetData>
  <sortState xmlns:xlrd2="http://schemas.microsoft.com/office/spreadsheetml/2017/richdata2" ref="A2:E37">
    <sortCondition ref="A2:A37" customList="January,February,March,April,May,June,July,August,September,October,November,December"/>
    <sortCondition ref="E2:E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D1A7-7C86-4284-BBB2-EBF07DB1129F}">
  <dimension ref="A1:U40"/>
  <sheetViews>
    <sheetView showGridLines="0" showRowColHeaders="0" tabSelected="1" workbookViewId="0">
      <selection activeCell="O2" sqref="O2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24.77734375" bestFit="1" customWidth="1"/>
  </cols>
  <sheetData>
    <row r="1" spans="1:2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x14ac:dyDescent="0.3">
      <c r="A3" s="11" t="s">
        <v>1</v>
      </c>
      <c r="B3" s="11" t="s">
        <v>34</v>
      </c>
      <c r="C3" s="11" t="s">
        <v>31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x14ac:dyDescent="0.3">
      <c r="A4" s="12" t="s">
        <v>29</v>
      </c>
      <c r="B4" s="13">
        <v>167976</v>
      </c>
      <c r="C4" s="13">
        <v>167172.84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x14ac:dyDescent="0.3">
      <c r="A5" s="12" t="s">
        <v>30</v>
      </c>
      <c r="B5" s="13">
        <v>252027</v>
      </c>
      <c r="C5" s="13">
        <v>252345.72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x14ac:dyDescent="0.3">
      <c r="A6" s="14" t="s">
        <v>23</v>
      </c>
      <c r="B6" s="11">
        <v>420003</v>
      </c>
      <c r="C6" s="11">
        <v>419518.56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x14ac:dyDescent="0.3">
      <c r="A7" s="12" t="s">
        <v>24</v>
      </c>
      <c r="B7" s="13" t="s">
        <v>32</v>
      </c>
      <c r="C7" s="13">
        <f>GETPIVOTDATA("Sum of Actual_Amount",$A$3,"Type","Income")-GETPIVOTDATA("Sum of Actual_Amount",$A$3,"Type","Expense")</f>
        <v>85172.88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</sheetData>
  <autoFilter ref="A3:C20" xr:uid="{A718D1A7-7C86-4284-BBB2-EBF07DB1129F}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9015-2D9E-4D14-8C85-1904EA5F0D33}">
  <dimension ref="A3:H11"/>
  <sheetViews>
    <sheetView workbookViewId="0">
      <selection activeCell="C4" sqref="C4"/>
    </sheetView>
  </sheetViews>
  <sheetFormatPr defaultRowHeight="14.4" x14ac:dyDescent="0.3"/>
  <cols>
    <col min="1" max="1" width="12.44140625" customWidth="1"/>
    <col min="2" max="2" width="17.88671875" customWidth="1"/>
    <col min="3" max="3" width="18.5546875" customWidth="1"/>
    <col min="4" max="4" width="14.44140625" customWidth="1"/>
    <col min="7" max="7" width="11.21875" customWidth="1"/>
    <col min="8" max="8" width="11.88671875" customWidth="1"/>
  </cols>
  <sheetData>
    <row r="3" spans="1:8" x14ac:dyDescent="0.3">
      <c r="A3" s="1" t="s">
        <v>10</v>
      </c>
      <c r="B3" t="s">
        <v>21</v>
      </c>
      <c r="C3" t="s">
        <v>22</v>
      </c>
      <c r="D3" t="s">
        <v>20</v>
      </c>
    </row>
    <row r="4" spans="1:8" x14ac:dyDescent="0.3">
      <c r="A4" s="2" t="s">
        <v>11</v>
      </c>
      <c r="B4">
        <v>42166.05</v>
      </c>
      <c r="C4">
        <v>27650.93</v>
      </c>
      <c r="D4">
        <v>235.97999999999979</v>
      </c>
    </row>
    <row r="5" spans="1:8" x14ac:dyDescent="0.3">
      <c r="A5" s="2" t="s">
        <v>12</v>
      </c>
      <c r="B5">
        <v>42215.92</v>
      </c>
      <c r="C5">
        <v>28095.61</v>
      </c>
      <c r="D5">
        <v>250.5300000000002</v>
      </c>
    </row>
    <row r="6" spans="1:8" x14ac:dyDescent="0.3">
      <c r="A6" s="2" t="s">
        <v>13</v>
      </c>
      <c r="B6">
        <v>42045.96</v>
      </c>
      <c r="C6">
        <v>28621.399999999998</v>
      </c>
      <c r="D6">
        <v>302.3599999999999</v>
      </c>
      <c r="G6" s="9" t="s">
        <v>17</v>
      </c>
      <c r="H6" s="9" t="s">
        <v>18</v>
      </c>
    </row>
    <row r="7" spans="1:8" x14ac:dyDescent="0.3">
      <c r="A7" s="2" t="s">
        <v>14</v>
      </c>
      <c r="B7">
        <v>41820.79</v>
      </c>
      <c r="C7">
        <v>27567.599999999999</v>
      </c>
      <c r="D7">
        <v>-692.61000000000013</v>
      </c>
      <c r="G7" s="10">
        <v>252345.72</v>
      </c>
      <c r="H7" s="10">
        <v>167172.84000000003</v>
      </c>
    </row>
    <row r="8" spans="1:8" x14ac:dyDescent="0.3">
      <c r="A8" s="2" t="s">
        <v>15</v>
      </c>
      <c r="B8">
        <v>42033.18</v>
      </c>
      <c r="C8">
        <v>27998.76</v>
      </c>
      <c r="D8">
        <v>-143.05999999999972</v>
      </c>
    </row>
    <row r="9" spans="1:8" x14ac:dyDescent="0.3">
      <c r="A9" s="2" t="s">
        <v>16</v>
      </c>
      <c r="B9">
        <v>42063.82</v>
      </c>
      <c r="C9">
        <v>27238.539999999997</v>
      </c>
      <c r="D9">
        <v>-437.63999999999987</v>
      </c>
    </row>
    <row r="10" spans="1:8" x14ac:dyDescent="0.3">
      <c r="A10" s="2" t="s">
        <v>23</v>
      </c>
      <c r="B10">
        <v>252345.72</v>
      </c>
      <c r="C10">
        <v>167172.84000000003</v>
      </c>
      <c r="D10">
        <v>-484.43999999999983</v>
      </c>
    </row>
    <row r="11" spans="1:8" x14ac:dyDescent="0.3">
      <c r="A11" s="6" t="s">
        <v>24</v>
      </c>
      <c r="B11" s="7" t="s">
        <v>33</v>
      </c>
      <c r="C11" s="7">
        <f>GETPIVOTDATA("Sum of Total Income",$A$3)-GETPIVOTDATA("Sum of Total Expense",$A$3)</f>
        <v>85172.879999999976</v>
      </c>
      <c r="D11" s="8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4FA85-002A-42F7-B6A5-4E64870BBC82}">
  <dimension ref="A3:C10"/>
  <sheetViews>
    <sheetView workbookViewId="0">
      <selection activeCell="C8" sqref="C8"/>
    </sheetView>
  </sheetViews>
  <sheetFormatPr defaultRowHeight="14.4" x14ac:dyDescent="0.3"/>
  <cols>
    <col min="1" max="1" width="12.33203125" customWidth="1"/>
    <col min="2" max="2" width="15" customWidth="1"/>
    <col min="3" max="3" width="19.109375" customWidth="1"/>
  </cols>
  <sheetData>
    <row r="3" spans="1:3" x14ac:dyDescent="0.3">
      <c r="A3" s="1" t="s">
        <v>0</v>
      </c>
      <c r="B3" t="s">
        <v>26</v>
      </c>
      <c r="C3" t="s">
        <v>27</v>
      </c>
    </row>
    <row r="4" spans="1:3" x14ac:dyDescent="0.3">
      <c r="A4" s="2" t="s">
        <v>9</v>
      </c>
      <c r="B4">
        <v>12210</v>
      </c>
      <c r="C4">
        <v>11823.5</v>
      </c>
    </row>
    <row r="5" spans="1:3" x14ac:dyDescent="0.3">
      <c r="A5" s="2" t="s">
        <v>7</v>
      </c>
      <c r="B5">
        <v>12027</v>
      </c>
      <c r="C5">
        <v>12345.720000000001</v>
      </c>
    </row>
    <row r="6" spans="1:3" x14ac:dyDescent="0.3">
      <c r="A6" s="2" t="s">
        <v>6</v>
      </c>
      <c r="B6">
        <v>26793</v>
      </c>
      <c r="C6">
        <v>26238.81</v>
      </c>
    </row>
    <row r="7" spans="1:3" x14ac:dyDescent="0.3">
      <c r="A7" s="2" t="s">
        <v>5</v>
      </c>
      <c r="B7">
        <v>120000</v>
      </c>
      <c r="C7">
        <v>120000</v>
      </c>
    </row>
    <row r="8" spans="1:3" x14ac:dyDescent="0.3">
      <c r="A8" s="2" t="s">
        <v>4</v>
      </c>
      <c r="B8">
        <v>240000</v>
      </c>
      <c r="C8">
        <v>240000</v>
      </c>
    </row>
    <row r="9" spans="1:3" x14ac:dyDescent="0.3">
      <c r="A9" s="2" t="s">
        <v>8</v>
      </c>
      <c r="B9">
        <v>8973</v>
      </c>
      <c r="C9">
        <v>9110.5300000000007</v>
      </c>
    </row>
    <row r="10" spans="1:3" x14ac:dyDescent="0.3">
      <c r="A10" s="2" t="s">
        <v>23</v>
      </c>
      <c r="B10">
        <v>420003</v>
      </c>
      <c r="C10">
        <v>419518.56000000006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4A68-18D2-4A6B-9B9B-FEEEA2EBD7A3}">
  <dimension ref="A3:B10"/>
  <sheetViews>
    <sheetView workbookViewId="0">
      <selection activeCell="B8" sqref="B8"/>
    </sheetView>
  </sheetViews>
  <sheetFormatPr defaultRowHeight="14.4" x14ac:dyDescent="0.3"/>
  <cols>
    <col min="1" max="1" width="10.5546875" customWidth="1"/>
    <col min="2" max="2" width="13.33203125" customWidth="1"/>
  </cols>
  <sheetData>
    <row r="3" spans="1:2" x14ac:dyDescent="0.3">
      <c r="A3" s="1" t="s">
        <v>10</v>
      </c>
      <c r="B3" t="s">
        <v>25</v>
      </c>
    </row>
    <row r="4" spans="1:2" x14ac:dyDescent="0.3">
      <c r="A4" s="2" t="s">
        <v>11</v>
      </c>
      <c r="B4">
        <v>235.97999999999979</v>
      </c>
    </row>
    <row r="5" spans="1:2" x14ac:dyDescent="0.3">
      <c r="A5" s="2" t="s">
        <v>12</v>
      </c>
      <c r="B5">
        <v>250.5300000000002</v>
      </c>
    </row>
    <row r="6" spans="1:2" x14ac:dyDescent="0.3">
      <c r="A6" s="2" t="s">
        <v>13</v>
      </c>
      <c r="B6">
        <v>302.3599999999999</v>
      </c>
    </row>
    <row r="7" spans="1:2" x14ac:dyDescent="0.3">
      <c r="A7" s="2" t="s">
        <v>14</v>
      </c>
      <c r="B7">
        <v>-692.61000000000013</v>
      </c>
    </row>
    <row r="8" spans="1:2" x14ac:dyDescent="0.3">
      <c r="A8" s="2" t="s">
        <v>15</v>
      </c>
      <c r="B8">
        <v>-143.05999999999972</v>
      </c>
    </row>
    <row r="9" spans="1:2" x14ac:dyDescent="0.3">
      <c r="A9" s="2" t="s">
        <v>16</v>
      </c>
      <c r="B9">
        <v>-437.63999999999987</v>
      </c>
    </row>
    <row r="10" spans="1:2" x14ac:dyDescent="0.3">
      <c r="A10" s="2" t="s">
        <v>23</v>
      </c>
      <c r="B10">
        <v>-484.43999999999983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8D0F-6B16-4850-8A1F-79C54AC18CF0}">
  <dimension ref="A3:B13"/>
  <sheetViews>
    <sheetView workbookViewId="0">
      <selection activeCell="B8" sqref="B8"/>
    </sheetView>
  </sheetViews>
  <sheetFormatPr defaultRowHeight="14.4" x14ac:dyDescent="0.3"/>
  <cols>
    <col min="1" max="1" width="15.5546875" customWidth="1"/>
    <col min="2" max="2" width="19.77734375" customWidth="1"/>
  </cols>
  <sheetData>
    <row r="3" spans="1:2" x14ac:dyDescent="0.3">
      <c r="A3" s="1" t="s">
        <v>28</v>
      </c>
      <c r="B3" t="s">
        <v>31</v>
      </c>
    </row>
    <row r="4" spans="1:2" x14ac:dyDescent="0.3">
      <c r="A4" s="2" t="s">
        <v>29</v>
      </c>
      <c r="B4">
        <v>167172.84</v>
      </c>
    </row>
    <row r="5" spans="1:2" x14ac:dyDescent="0.3">
      <c r="A5" s="3" t="s">
        <v>9</v>
      </c>
      <c r="B5">
        <v>11823.5</v>
      </c>
    </row>
    <row r="6" spans="1:2" x14ac:dyDescent="0.3">
      <c r="A6" s="3" t="s">
        <v>6</v>
      </c>
      <c r="B6">
        <v>26238.81</v>
      </c>
    </row>
    <row r="7" spans="1:2" x14ac:dyDescent="0.3">
      <c r="A7" s="3" t="s">
        <v>5</v>
      </c>
      <c r="B7">
        <v>120000</v>
      </c>
    </row>
    <row r="8" spans="1:2" x14ac:dyDescent="0.3">
      <c r="A8" s="3" t="s">
        <v>8</v>
      </c>
      <c r="B8">
        <v>9110.5300000000007</v>
      </c>
    </row>
    <row r="9" spans="1:2" x14ac:dyDescent="0.3">
      <c r="A9" s="2" t="s">
        <v>30</v>
      </c>
      <c r="B9">
        <v>252345.72</v>
      </c>
    </row>
    <row r="10" spans="1:2" x14ac:dyDescent="0.3">
      <c r="A10" s="3" t="s">
        <v>7</v>
      </c>
      <c r="B10">
        <v>12345.720000000001</v>
      </c>
    </row>
    <row r="11" spans="1:2" x14ac:dyDescent="0.3">
      <c r="A11" s="3" t="s">
        <v>4</v>
      </c>
      <c r="B11">
        <v>240000</v>
      </c>
    </row>
    <row r="12" spans="1:2" x14ac:dyDescent="0.3">
      <c r="A12" s="2" t="s">
        <v>23</v>
      </c>
      <c r="B12">
        <v>419518.56</v>
      </c>
    </row>
    <row r="13" spans="1:2" x14ac:dyDescent="0.3">
      <c r="A13" s="4" t="s">
        <v>24</v>
      </c>
      <c r="B13" s="5">
        <f>GETPIVOTDATA("Actual_Amount",$A$3,"Type","Income")-GETPIVOTDATA("Actual_Amount",$A$3,"Type","Expense")</f>
        <v>85172.88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Budget Data Sheet</vt:lpstr>
      <vt:lpstr>Dashboard</vt:lpstr>
      <vt:lpstr>Report 1</vt:lpstr>
      <vt:lpstr> Report 2</vt:lpstr>
      <vt:lpstr> Report 3</vt:lpstr>
      <vt:lpstr> Report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2025-11-09T19:00:35Z</dcterms:created>
  <dcterms:modified xsi:type="dcterms:W3CDTF">2025-11-23T21:24:42Z</dcterms:modified>
</cp:coreProperties>
</file>